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2.xml.rels" ContentType="application/vnd.openxmlformats-package.relationships+xml"/>
  <Override PartName="/xl/worksheets/_rels/sheet13.xml.rels" ContentType="application/vnd.openxmlformats-package.relationships+xml"/>
  <Override PartName="/xl/worksheets/sheet1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Cost Summary" sheetId="15" state="visible" r:id="rId18"/>
    <sheet name="Trend" sheetId="3" state="visible" r:id="rId5"/>
    <sheet name="Checks" sheetId="4" state="visible" r:id="rId6"/>
    <sheet name="Findings" sheetId="5" state="visible" r:id="rId7"/>
    <sheet name="Daily" sheetId="6" state="visible" r:id="rId8"/>
    <sheet name="CardType" sheetId="7" state="visible" r:id="rId9"/>
    <sheet name="Locations" sheetId="8" state="visible" r:id="rId10"/>
    <sheet name="PaidByOthers" sheetId="9" state="visible" r:id="rId11"/>
    <sheet name="Disputes" sheetId="10" state="visible" r:id="rId12"/>
    <sheet name="FeeSummary" sheetId="11" state="visible" r:id="rId13"/>
    <sheet name="FeeDetail" sheetId="12" state="visible" r:id="rId14"/>
    <sheet name="Interchange" sheetId="13" state="visible" r:id="rId15"/>
    <sheet name="Funded" sheetId="14" state="visible" r:id="rId16"/>
  </sheets>
  <definedNames>
    <definedName function="false" hidden="true" localSheetId="12" name="_xlnm._FilterDatabase" vbProcedure="false">FeeDetail!$A$3:$M$360</definedName>
    <definedName function="false" hidden="true" localSheetId="13" name="_xlnm._FilterDatabase" vbProcedure="false">Interchange!$A$3:$O$143</definedName>
  </definedNames>
  <calcPr fullCalcOnLoad="1"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<sst xmlns="http://schemas.openxmlformats.org/spreadsheetml/2006/main" count="2553" uniqueCount="768">
  <si>
    <t xml:space="preserve">Merchant statement parse: sample Fiserv / CardPointe statement</t>
  </si>
  <si>
    <t xml:space="preserve">Source</t>
  </si>
  <si>
    <t xml:space="preserve">Sample Fiserv Statement.pdf (16 pages), card processing statement, period 07/01/2026 to 07/31/2026, corporate number 496115385882.</t>
  </si>
  <si>
    <t xml:space="preserve">Method</t>
  </si>
  <si>
    <t xml:space="preserve">Text was extracted from the PDF text layer and parsed with Python (regular expressions, decimal arithmetic). The parsed data was compared with the PDF text (every dollar amount on pages 2-16 matches in order, plus the page 1 values), then every table was validated in this workbook with live Excel formulas (see Checks).</t>
  </si>
  <si>
    <t xml:space="preserve">Result</t>
  </si>
  <si>
    <t xml:space="preserve">77 of 78 checks pass: every parsed control total ties to the statement to the cent. The one REVIEW is a variance inside the source statement (3 interchange lines whose printed charge differs from rate x sales + transactions x fee). See Checks and Findings.</t>
  </si>
  <si>
    <t xml:space="preserve">Sign convention</t>
  </si>
  <si>
    <t xml:space="preserve">As printed on the statement: submitted sales and positive adjustments are positive; refunds, Paid by Others, disputes and fees are negative.</t>
  </si>
  <si>
    <t xml:space="preserve">Not parsed</t>
  </si>
  <si>
    <t xml:space="preserve">The compliance notice after page 16 (boilerplate, no data).</t>
  </si>
  <si>
    <t xml:space="preserve">Header</t>
  </si>
  <si>
    <t xml:space="preserve">Company and address on the Summary sheet are what page 1 visibly shows (ABC Company, DOWNINGTOWN PA 19335). The text layer holds different, more detailed text behind the overlay; it is not copied here (see Findings).</t>
  </si>
  <si>
    <t xml:space="preserve">Sheet</t>
  </si>
  <si>
    <t xml:space="preserve">Content</t>
  </si>
  <si>
    <t xml:space="preserve">Summary</t>
  </si>
  <si>
    <t xml:space="preserve">Statement header and account summary, with the summary equation recomputed.</t>
  </si>
  <si>
    <t xml:space="preserve">Trend</t>
  </si>
  <si>
    <t xml:space="preserve">13-month sales trend from the page 1 chart, with YoY and MoM recomputed.</t>
  </si>
  <si>
    <t xml:space="preserve">Daily</t>
  </si>
  <si>
    <t xml:space="preserve">Summary By Day (31 dated rows incl. 06/30, the month-end charge and the total), row checks and tie-out to Funded.</t>
  </si>
  <si>
    <t xml:space="preserve">CardType</t>
  </si>
  <si>
    <t xml:space="preserve">Summary by Card Type with gross, refunds, net and average ticket recomputed.</t>
  </si>
  <si>
    <t xml:space="preserve">Locations</t>
  </si>
  <si>
    <t xml:space="preserve">23 locations with row checks and Paid by Others cross-check.</t>
  </si>
  <si>
    <t xml:space="preserve">PaidByOthers</t>
  </si>
  <si>
    <t xml:space="preserve">Paid by Others list (American Express pass-through).</t>
  </si>
  <si>
    <t xml:space="preserve">Disputes</t>
  </si>
  <si>
    <t xml:space="preserve">Disputes detail (1 item).</t>
  </si>
  <si>
    <t xml:space="preserve">FeeSummary</t>
  </si>
  <si>
    <t xml:space="preserve">Fee summary, brand by type matrix (as printed vs recomputed from FeeDetail) and the interchange reconciliation.</t>
  </si>
  <si>
    <t xml:space="preserve">FeeDetail</t>
  </si>
  <si>
    <t xml:space="preserve">All 357 fee lines with category, product, type, amount, parsed basis and rate, and a recomputed amount.</t>
  </si>
  <si>
    <t xml:space="preserve">Interchange</t>
  </si>
  <si>
    <t xml:space="preserve">Interchange / program fee table (140 lines) with recomputed charge and flags, plus brand totals.</t>
  </si>
  <si>
    <t xml:space="preserve">Funded</t>
  </si>
  <si>
    <t xml:space="preserve">Amounts Funded (54 rows) with row checks and totals.</t>
  </si>
  <si>
    <t xml:space="preserve">Checks</t>
  </si>
  <si>
    <t xml:space="preserve">All validation tests with statement value, computed value, difference and result.</t>
  </si>
  <si>
    <t xml:space="preserve">Findings</t>
  </si>
  <si>
    <t xml:space="preserve">Parsing hazards found in this statement layout and source-statement variances to review.</t>
  </si>
  <si>
    <t xml:space="preserve">Statement header and account summary</t>
  </si>
  <si>
    <t xml:space="preserve">Statement</t>
  </si>
  <si>
    <t xml:space="preserve">Statement type</t>
  </si>
  <si>
    <t xml:space="preserve">CardConnect (Fiserv) card processing statement</t>
  </si>
  <si>
    <t xml:space="preserve">Logo reads cardconnect; contact site cardpointe.com</t>
  </si>
  <si>
    <t xml:space="preserve">Source file</t>
  </si>
  <si>
    <t xml:space="preserve">Sample Fiserv Statement.pdf</t>
  </si>
  <si>
    <t xml:space="preserve">16 pages</t>
  </si>
  <si>
    <t xml:space="preserve">Corporate number</t>
  </si>
  <si>
    <t xml:space="preserve">496115385882</t>
  </si>
  <si>
    <t xml:space="preserve">Page 1 and the page headers show it truncated (4961); the full number is visible as the first Location ID in Summary By Location (page 3)</t>
  </si>
  <si>
    <t xml:space="preserve">Period start</t>
  </si>
  <si>
    <t xml:space="preserve">Period end</t>
  </si>
  <si>
    <t xml:space="preserve">Locations included</t>
  </si>
  <si>
    <t xml:space="preserve">Printed on page 1; recounted in Checks</t>
  </si>
  <si>
    <t xml:space="preserve">Company (as displayed)</t>
  </si>
  <si>
    <t xml:space="preserve">ABC Company</t>
  </si>
  <si>
    <t xml:space="preserve">Exactly as printed on page 1</t>
  </si>
  <si>
    <t xml:space="preserve">City / state / ZIP (as displayed)</t>
  </si>
  <si>
    <t xml:space="preserve">DOWNINGTOWN PA 19335</t>
  </si>
  <si>
    <t xml:space="preserve">No street address or contact name is visible on page 1</t>
  </si>
  <si>
    <t xml:space="preserve">Hidden text behind the header</t>
  </si>
  <si>
    <t xml:space="preserve">Yes</t>
  </si>
  <si>
    <t xml:space="preserve">The page 1 text layer holds a different company name, a contact name and a street address behind the overlay. Deliberately not copied here.</t>
  </si>
  <si>
    <t xml:space="preserve">Processor customer service</t>
  </si>
  <si>
    <t xml:space="preserve">1-877-828-0720 / cardpointe.com</t>
  </si>
  <si>
    <t xml:space="preserve">Account Summary (page 1)</t>
  </si>
  <si>
    <t xml:space="preserve">Amount Submitted</t>
  </si>
  <si>
    <t xml:space="preserve">Paid by Others</t>
  </si>
  <si>
    <t xml:space="preserve">Adjustments</t>
  </si>
  <si>
    <t xml:space="preserve">Fees</t>
  </si>
  <si>
    <t xml:space="preserve">Amount Processed (statement)</t>
  </si>
  <si>
    <t xml:space="preserve">Page 1 boxes are positioned out of label order in the text layer; mapped by equation and by the Total rows</t>
  </si>
  <si>
    <t xml:space="preserve">Amount Processed (computed)</t>
  </si>
  <si>
    <t xml:space="preserve">Difference</t>
  </si>
  <si>
    <t xml:space="preserve">New Customers</t>
  </si>
  <si>
    <t xml:space="preserve">Repeat Customers</t>
  </si>
  <si>
    <t xml:space="preserve">Avg. Ticket Size (statement)</t>
  </si>
  <si>
    <t xml:space="preserve">Avg. Ticket Size (computed)</t>
  </si>
  <si>
    <t xml:space="preserve">Net submitted / net items (CardType total)</t>
  </si>
  <si>
    <t xml:space="preserve">Sales change Jul 25 vs Jul 26</t>
  </si>
  <si>
    <t xml:space="preserve">Printed as "178.27% year over year"</t>
  </si>
  <si>
    <t xml:space="preserve">Sales change Jun 26 vs Jul 26</t>
  </si>
  <si>
    <t xml:space="preserve">Printed as "1.82% month over month"</t>
  </si>
  <si>
    <t xml:space="preserve">13 months sales trend (page 1 chart)</t>
  </si>
  <si>
    <t xml:space="preserve">Chart labels from the text layer; amounts are Amount Submitted per month.</t>
  </si>
  <si>
    <t xml:space="preserve">Month</t>
  </si>
  <si>
    <t xml:space="preserve">Change vs previous month</t>
  </si>
  <si>
    <t xml:space="preserve">Jul 26 vs Jul 25 (year over year), computed</t>
  </si>
  <si>
    <t xml:space="preserve">Printed on page 1</t>
  </si>
  <si>
    <t xml:space="preserve">Jul 26 vs Jun 26 (month over month), computed</t>
  </si>
  <si>
    <t xml:space="preserve">Validation checks</t>
  </si>
  <si>
    <t xml:space="preserve">PASS = computed value equals the statement to the cent. REVIEW = differs (either a parse problem or a variance inside the source statement; see Findings).</t>
  </si>
  <si>
    <t xml:space="preserve">#</t>
  </si>
  <si>
    <t xml:space="preserve">Area</t>
  </si>
  <si>
    <t xml:space="preserve">Check</t>
  </si>
  <si>
    <t xml:space="preserve">Statement / expected</t>
  </si>
  <si>
    <t xml:space="preserve">Computed</t>
  </si>
  <si>
    <t xml:space="preserve">Account summary: submitted + paid by others + disputes + adjustments + fees = amount processed</t>
  </si>
  <si>
    <t xml:space="preserve">Average ticket = net submitted / net items</t>
  </si>
  <si>
    <t xml:space="preserve">Locations included (page 1) = number of location rows</t>
  </si>
  <si>
    <t xml:space="preserve">Trend chart: Jul 26 value = Account Summary (Amount Submitted)</t>
  </si>
  <si>
    <t xml:space="preserve">Trend chart: year over year (Jul 26 vs Jul 25), percent, printed vs recomputed</t>
  </si>
  <si>
    <t xml:space="preserve">Trend chart: month over month (Jun 26 vs Jul 26), percent, printed vs recomputed</t>
  </si>
  <si>
    <t xml:space="preserve">Summary By Day: sum of all rows incl. 06/30 and month-end = statement total (Amount Submitted)</t>
  </si>
  <si>
    <t xml:space="preserve">Summary By Day: sum of all rows incl. 06/30 and month-end = statement total (Paid by Others)</t>
  </si>
  <si>
    <t xml:space="preserve">Summary By Day: sum of all rows incl. 06/30 and month-end = statement total (Disputes)</t>
  </si>
  <si>
    <t xml:space="preserve">Summary By Day: sum of all rows incl. 06/30 and month-end = statement total (Adjustments)</t>
  </si>
  <si>
    <t xml:space="preserve">Summary By Day: sum of all rows incl. 06/30 and month-end = statement total (Fees)</t>
  </si>
  <si>
    <t xml:space="preserve">Summary By Day: sum of all rows incl. 06/30 and month-end = statement total (Amount Processed)</t>
  </si>
  <si>
    <t xml:space="preserve">Summary By Day total = Account Summary (Amount Submitted)</t>
  </si>
  <si>
    <t xml:space="preserve">Summary By Day total = Account Summary (Amount Processed)</t>
  </si>
  <si>
    <t xml:space="preserve">Each daily row: submitted + paid by others + disputes + adjustments + fees = processed (sum of absolute row errors)</t>
  </si>
  <si>
    <t xml:space="preserve">Each date: Summary By Day amounts = sum of Amounts Funded rows for that submit date (sum of absolute differences)</t>
  </si>
  <si>
    <t xml:space="preserve">Month End Charge = Account Summary fees</t>
  </si>
  <si>
    <t xml:space="preserve">Summary By Location: sum of 23 rows = statement total (Amount Submitted)</t>
  </si>
  <si>
    <t xml:space="preserve">Summary By Location: sum of 23 rows = statement total (Paid by Others)</t>
  </si>
  <si>
    <t xml:space="preserve">Summary By Location: sum of 23 rows = statement total (Disputes)</t>
  </si>
  <si>
    <t xml:space="preserve">Summary By Location: sum of 23 rows = statement total (Adjustments)</t>
  </si>
  <si>
    <t xml:space="preserve">Summary By Location: sum of 23 rows = statement total (Fees)</t>
  </si>
  <si>
    <t xml:space="preserve">Summary By Location: sum of 23 rows = statement total (Amount Processed)</t>
  </si>
  <si>
    <t xml:space="preserve">Each location row: components add up to Processed Amount (sum of absolute row errors)</t>
  </si>
  <si>
    <t xml:space="preserve">Location totals = Account Summary (Amount Processed)</t>
  </si>
  <si>
    <t xml:space="preserve">Paid by Others list: sum = statement total</t>
  </si>
  <si>
    <t xml:space="preserve">Paid by Others list per location = Summary By Location (sum of absolute differences)</t>
  </si>
  <si>
    <t xml:space="preserve">Paid by Others total = Account Summary</t>
  </si>
  <si>
    <t xml:space="preserve">Card type</t>
  </si>
  <si>
    <t xml:space="preserve">Each card row: gross + refunds = net amount (sum of absolute row errors)</t>
  </si>
  <si>
    <t xml:space="preserve">Each card row: gross items + refund items = total items (sum of absolute row errors)</t>
  </si>
  <si>
    <t xml:space="preserve">Card type totals: sum of rows = statement total (gross items)</t>
  </si>
  <si>
    <t xml:space="preserve">Card type totals: sum of rows = statement total (gross sales)</t>
  </si>
  <si>
    <t xml:space="preserve">Card type totals: sum of rows = statement total (refund items)</t>
  </si>
  <si>
    <t xml:space="preserve">Card type totals: sum of rows = statement total (refunds)</t>
  </si>
  <si>
    <t xml:space="preserve">Card type totals: sum of rows = statement total (total items)</t>
  </si>
  <si>
    <t xml:space="preserve">Card type totals: sum of rows = statement total (net amount)</t>
  </si>
  <si>
    <t xml:space="preserve">Card type net total = Account Summary (Amount Submitted)</t>
  </si>
  <si>
    <t xml:space="preserve">Average ticket per card type recomputed (sum of absolute differences)</t>
  </si>
  <si>
    <t xml:space="preserve">Disputes detail = Account Summary disputes</t>
  </si>
  <si>
    <t xml:space="preserve">Disputes detail = Summary By Location disputes total</t>
  </si>
  <si>
    <t xml:space="preserve">Fee Summary: fees + IC/PF + service charges = total fees</t>
  </si>
  <si>
    <t xml:space="preserve">Fee Summary total = Account Summary fees</t>
  </si>
  <si>
    <t xml:space="preserve">Sum of all 357 fee lines = Account Summary fees</t>
  </si>
  <si>
    <t xml:space="preserve">Fee lines by type = Fee Summary (Fees)</t>
  </si>
  <si>
    <t xml:space="preserve">Fee lines by type = Fee Summary (IC/PF)</t>
  </si>
  <si>
    <t xml:space="preserve">Fee lines by type = Fee Summary (Service Charges)</t>
  </si>
  <si>
    <t xml:space="preserve">Fee lines by category = printed group subtotal (Account Fees)</t>
  </si>
  <si>
    <t xml:space="preserve">Fee lines by category = printed group subtotal (Debit Fees)</t>
  </si>
  <si>
    <t xml:space="preserve">Fee lines by category = printed group subtotal (Debit Network Fees)</t>
  </si>
  <si>
    <t xml:space="preserve">Fee lines by category = printed group subtotal (Transaction Fees)</t>
  </si>
  <si>
    <t xml:space="preserve">Fee matrix (type by brand): recomputed from FeeDetail = printed matrix (sum of absolute differences, 28 cells)</t>
  </si>
  <si>
    <t xml:space="preserve">Fee lines total = sum of Summary By Location fees</t>
  </si>
  <si>
    <t xml:space="preserve">Interchange table: brand sales = printed brand totals (sum of absolute differences)</t>
  </si>
  <si>
    <t xml:space="preserve">Interchange table: brand transactions = printed brand totals (sum of absolute differences)</t>
  </si>
  <si>
    <t xml:space="preserve">Interchange table: brand charges = printed brand totals (sum of absolute differences)</t>
  </si>
  <si>
    <t xml:space="preserve">Interchange table grand total charges = printed grand total</t>
  </si>
  <si>
    <t xml:space="preserve">Interchange table grand total sales = Account Summary (Amount Submitted)</t>
  </si>
  <si>
    <t xml:space="preserve">IC/PF on Fee Summary = interchange table + assessments/network fees + debit interchange</t>
  </si>
  <si>
    <t xml:space="preserve">Mastercard: interchange table + assessments = interchange row of the fee matrix</t>
  </si>
  <si>
    <t xml:space="preserve">Visa: interchange table + assessments = interchange row of the fee matrix</t>
  </si>
  <si>
    <t xml:space="preserve">Discover: interchange table + assessments = interchange row of the fee matrix</t>
  </si>
  <si>
    <t xml:space="preserve">Mastercard: sales-discount bases (credit + debit) = gross sales on Card Type</t>
  </si>
  <si>
    <t xml:space="preserve">Visa: sales-discount bases (credit + debit) = gross sales on Card Type</t>
  </si>
  <si>
    <t xml:space="preserve">Discover: sales-discount bases (credit + debit) = gross sales on Card Type</t>
  </si>
  <si>
    <t xml:space="preserve">Interchange lines where stated charge differs from rate x sales + txns x fee by more than $0.05 (count)</t>
  </si>
  <si>
    <t xml:space="preserve">Printed % of sales and % of transactions recompute on every interchange line (count of lines that do not)</t>
  </si>
  <si>
    <t xml:space="preserve">Printed card mix (pie chart) = net amount share per card type (sum of absolute differences, percentage points)</t>
  </si>
  <si>
    <t xml:space="preserve">Printed fee mix (pie chart) = fee type share of total fees (sum of absolute differences, percentage points)</t>
  </si>
  <si>
    <t xml:space="preserve">Fee lines where stated amount differs from basis x rate by more than $0.11 (count)</t>
  </si>
  <si>
    <t xml:space="preserve">Amounts Funded: sum of rows = statement total (Amount Submitted)</t>
  </si>
  <si>
    <t xml:space="preserve">Amounts Funded: sum of rows = statement total (Paid by Others)</t>
  </si>
  <si>
    <t xml:space="preserve">Amounts Funded: sum of rows = statement total (Disputes)</t>
  </si>
  <si>
    <t xml:space="preserve">Amounts Funded: sum of rows = statement total (Adjustments)</t>
  </si>
  <si>
    <t xml:space="preserve">Amounts Funded: sum of rows = statement total (Fees)</t>
  </si>
  <si>
    <t xml:space="preserve">Amounts Funded: sum of rows = statement total (Amount Funded)</t>
  </si>
  <si>
    <t xml:space="preserve">Each funded row: components add up to Amount Funded (sum of absolute row errors)</t>
  </si>
  <si>
    <t xml:space="preserve">Submitted, paid by others, disputes: Funded totals = Account Summary (sum of absolute differences)</t>
  </si>
  <si>
    <t xml:space="preserve">Amount Processed - Amount Funded = Month End Charge fees - Funded fees (fees funded belong to prior statements)</t>
  </si>
  <si>
    <t xml:space="preserve">Checks passed</t>
  </si>
  <si>
    <t xml:space="preserve">Checks needing review</t>
  </si>
  <si>
    <t xml:space="preserve">Findings: parsing hazards and source-statement variances</t>
  </si>
  <si>
    <t xml:space="preserve">Type</t>
  </si>
  <si>
    <t xml:space="preserve">Finding</t>
  </si>
  <si>
    <t xml:space="preserve">Why it matters for parsing</t>
  </si>
  <si>
    <t xml:space="preserve">Suggested handling</t>
  </si>
  <si>
    <t xml:space="preserve">Parse hazard</t>
  </si>
  <si>
    <t xml:space="preserve">Summary By Day</t>
  </si>
  <si>
    <t xml:space="preserve">The July statement includes a 06/30/2026 row ($509,561.75 submitted) and its amounts are inside the statement totals. There is also an undated "Month End Charge" row and a "Total" row.</t>
  </si>
  <si>
    <t xml:space="preserve">A filter on the statement period drops 06/30 and the daily table then no longer sums to the printed total.</t>
  </si>
  <si>
    <t xml:space="preserve">Do not filter by period; treat Month End Charge and Total as separate row types.</t>
  </si>
  <si>
    <t xml:space="preserve">No row for 07/26/2026 (Sunday): days without activity are omitted, not shown as zero.</t>
  </si>
  <si>
    <t xml:space="preserve">A date-indexed load will have a gap; the day is only visible in Amounts Funded (funded 07/26).</t>
  </si>
  <si>
    <t xml:space="preserve">Reindex to the full calendar and fill zeros if a continuous series is needed.</t>
  </si>
  <si>
    <t xml:space="preserve">Fee lines</t>
  </si>
  <si>
    <t xml:space="preserve">Category and Product are printed only on the first row of each group and change mid-list (Miscellaneous, Mastercard, Visa, Discover, Amex, Debit); headers repeat after every page break.</t>
  </si>
  <si>
    <t xml:space="preserve">Rows after the first in a group have no category/product in the text.</t>
  </si>
  <si>
    <t xml:space="preserve">Forward-fill Category and Product; drop repeated header lines.</t>
  </si>
  <si>
    <t xml:space="preserve">Fee lines / Interchange</t>
  </si>
  <si>
    <t xml:space="preserve">Duplicate key: "VI-US BUS TIER 5 PRD 1 CEDP" appears twice in the Visa interchange table ($22,095.20 at 2.25% and $228,931.31 at 3.00%) and twice in the fee list.</t>
  </si>
  <si>
    <t xml:space="preserve">Keying or joining on description alone merges two different rows.</t>
  </si>
  <si>
    <t xml:space="preserve">Use brand + description + rate (or row order) as the key.</t>
  </si>
  <si>
    <t xml:space="preserve">The Type column labels assessment fees (Mastercard, Visa credit/debit, Discover) and one Mastercard network settlement fee as "Interchange Charges" (total $9,965.45).</t>
  </si>
  <si>
    <t xml:space="preserve">Type-based totals will not match the interchange table.</t>
  </si>
  <si>
    <t xml:space="preserve">Keep the printed Type, add a derived class if a true interchange split is needed.</t>
  </si>
  <si>
    <t xml:space="preserve">Fee Summary vs Interchange table</t>
  </si>
  <si>
    <t xml:space="preserve">IC/PF on the Fee Summary is $146,436.80 but the interchange table totals $132,608.12. Difference $13,828.68 = assessments/network fees $9,965.45 + debit interchange $3,863.23.</t>
  </si>
  <si>
    <t xml:space="preserve">The interchange table shows $0.00 for every debit network while the fee list charges $3,863.23 of debit interchange.</t>
  </si>
  <si>
    <t xml:space="preserve">Reconcile with the bridge on the FeeSummary sheet; the parse itself is complete.</t>
  </si>
  <si>
    <t xml:space="preserve">Amounts Funded</t>
  </si>
  <si>
    <t xml:space="preserve">Funded fees are -$163,012.13 versus a Month End Charge of -$170,258.04; Amount Funded total $7,137,351.92 versus Amount Processed $7,130,106.01 (difference $7,245.91).</t>
  </si>
  <si>
    <t xml:space="preserve">Funding does not reconcile to Amount Processed by design (funded fees come from the prior statement).</t>
  </si>
  <si>
    <t xml:space="preserve">Reconcile with the check on the Checks sheet.</t>
  </si>
  <si>
    <t xml:space="preserve">Page 1 header</t>
  </si>
  <si>
    <t xml:space="preserve">Page 1 visibly shows "ABC Company" and "DOWNINGTOWN PA 19335" with the corporate number cut to "4961". The text layer contains extra text behind the overlay: a different company name, a contact name and a street address (a redaction done by covering text, not removing it). The six summary amounts and the 13 monthly values also come out of label order, and each month label is split over several lines ("Jul / 25 / - / $3,227,208.93").</t>
  </si>
  <si>
    <t xml:space="preserve">A text-based parser returns the hidden values, an OCR or visual parser returns the visible ones, so the same statement gives two different merchants. The sample also exposes identifying data of what looks like a real merchant.</t>
  </si>
  <si>
    <t xml:space="preserve">Decide which layer is authoritative; map summary amounts by the equation and by the Total rows; take the corporate number from the first Location ID in Summary By Location on page 3 (the page headers visibly show only 4961; the full number there sits in the text layer). Consider telling the sender that the PDF still carries the underlying text.</t>
  </si>
  <si>
    <t xml:space="preserve">Interchange table</t>
  </si>
  <si>
    <t xml:space="preserve">The printed "% of Sales" uses the sum of absolute sales of the brand as denominator (refund lines count as positive), not the net Sales Total shown in the brand total. Example: VI-US REGULATED COMM (DB) prints 24% although $1,085,708.06 / $4,176,165.36 = 26%; refund lines print positive percentages. % of Transactions uses the brand transaction total.</t>
  </si>
  <si>
    <t xml:space="preserve">Recomputing percentages from the net brand total gives values that do not match the printed ones.</t>
  </si>
  <si>
    <t xml:space="preserve">Recompute with the absolute basis (columns M-O of the Interchange sheet: all 140 lines tie).</t>
  </si>
  <si>
    <t xml:space="preserve">Sign and formatting</t>
  </si>
  <si>
    <t xml:space="preserve">Negative values are printed "-$1,234.56"; refunds, Paid by Others, disputes and fees are negative; one positive Paid by Others value (+$20.34) appears on 07/15 in Amounts Funded; percentages are rounded and the % columns are not exact.</t>
  </si>
  <si>
    <t xml:space="preserve">Stripping "$" and "," without handling the leading minus, or taking absolute values, changes totals.</t>
  </si>
  <si>
    <t xml:space="preserve">Parse sign explicitly; recompute percentages instead of storing the printed ones.</t>
  </si>
  <si>
    <t xml:space="preserve">Card Type</t>
  </si>
  <si>
    <t xml:space="preserve">The Debit row (653 items, $392,800.35) covers PIN-debit networks only; Visa, Mastercard and Discover rows already include their own debit cards. The five rows add up to the net total, but the fee list splits debit differently (e.g. VISA DEBIT SALES DISCOUNT sits under Visa; the Debit product carries network and ILK fees).</t>
  </si>
  <si>
    <t xml:space="preserve">Mapping fee lines to card-type rows by the word "debit" gives wrong brand attribution.</t>
  </si>
  <si>
    <t xml:space="preserve">Attribute fee lines by the Product printed in the fee list, not by description keywords.</t>
  </si>
  <si>
    <t xml:space="preserve">Source variance</t>
  </si>
  <si>
    <t xml:space="preserve">VI-US BUS TR4 PRD 3: printed charge -$358.79 vs $330.37 from 2.70% x $12,191.53 + 12 x $0.10 (difference $28.42). It matches the fee list, so the parse is faithful.</t>
  </si>
  <si>
    <t xml:space="preserve">Effective rate implied by the charge is about 2.93% versus the printed 2.70%.</t>
  </si>
  <si>
    <t xml:space="preserve">Ask the processor or confirm the rate table; flag rather than correct.</t>
  </si>
  <si>
    <t xml:space="preserve">VI-US BUS TIER 4 PRD 1 CEDP: printed charge -$982.33 vs $1,021.09 from 2.95% x $34,514.97 + 29 x $0.10 (difference -$38.76).</t>
  </si>
  <si>
    <t xml:space="preserve">Implied effective rate is about 2.84% versus the printed 2.95%.</t>
  </si>
  <si>
    <t xml:space="preserve">Same as above.</t>
  </si>
  <si>
    <t xml:space="preserve">VI-US BUS TIER 5 PRD 1 CEDP ($228,931.31, 50 txns): printed charge -$6,880.79 vs $6,872.94 (difference $7.85).</t>
  </si>
  <si>
    <t xml:space="preserve">Small, but larger than rounding.</t>
  </si>
  <si>
    <t xml:space="preserve">Info</t>
  </si>
  <si>
    <t xml:space="preserve">Rounding</t>
  </si>
  <si>
    <t xml:space="preserve">62 interchange lines differ from rate x sales + txns x fee by $0.01 to $0.04 (printed rates are rounded to 4 decimals). 26 fee lines differ from basis x rate by $0.01 to $0.10; the largest are two "VI DIGTL COM US CNP SVC FEE MN" lines (5 and 10 transactions) charged $0.05 and $0.10 more than transactions x rate. The statement does not state the reason.</t>
  </si>
  <si>
    <t xml:space="preserve">Do not treat differences of a few cents per line as parse errors.</t>
  </si>
  <si>
    <t xml:space="preserve">Tolerances used: $0.05 on the Interchange sheet and $0.11 on FeeDetail.</t>
  </si>
  <si>
    <t xml:space="preserve">The compliance notice after page 16 is boilerplate with no data. The printed YoY (178.27%) and MoM (1.82%) are rounded and are recomputed on the Trend sheet.</t>
  </si>
  <si>
    <t xml:space="preserve">None needed.</t>
  </si>
  <si>
    <t xml:space="preserve">Note: the table includes a 06/30/2026 row (previous month) and its amounts are inside the statement totals. No row exists for 07/26/2026.</t>
  </si>
  <si>
    <t xml:space="preserve">Date</t>
  </si>
  <si>
    <t xml:space="preserve">Amount Processed</t>
  </si>
  <si>
    <t xml:space="preserve">Row check (should be 0)</t>
  </si>
  <si>
    <t xml:space="preserve">Funded tie-out (should be 0)</t>
  </si>
  <si>
    <t xml:space="preserve">Month End Charge</t>
  </si>
  <si>
    <t xml:space="preserve">Total (statement)</t>
  </si>
  <si>
    <t xml:space="preserve">Total (computed)</t>
  </si>
  <si>
    <t xml:space="preserve">Summary by Card Type</t>
  </si>
  <si>
    <t xml:space="preserve">Average ticket on the statement is net amount / net items (refund items count as items).</t>
  </si>
  <si>
    <t xml:space="preserve">Average Ticket (statement)</t>
  </si>
  <si>
    <t xml:space="preserve">Gross Items</t>
  </si>
  <si>
    <t xml:space="preserve">Gross Sales Amount</t>
  </si>
  <si>
    <t xml:space="preserve">Refund Items</t>
  </si>
  <si>
    <t xml:space="preserve">Refund Amount</t>
  </si>
  <si>
    <t xml:space="preserve">Total Items</t>
  </si>
  <si>
    <t xml:space="preserve">Total Amount Submitted</t>
  </si>
  <si>
    <t xml:space="preserve">Check: gross + refunds - net</t>
  </si>
  <si>
    <t xml:space="preserve">Check: items</t>
  </si>
  <si>
    <t xml:space="preserve">Avg ticket (computed)</t>
  </si>
  <si>
    <t xml:space="preserve">Avg ticket diff</t>
  </si>
  <si>
    <t xml:space="preserve">Share of net</t>
  </si>
  <si>
    <t xml:space="preserve">Share printed (pie chart, page 3)</t>
  </si>
  <si>
    <t xml:space="preserve">Printed vs recomputed (4 dp)</t>
  </si>
  <si>
    <t xml:space="preserve">MASTERCARD</t>
  </si>
  <si>
    <t xml:space="preserve">VISA</t>
  </si>
  <si>
    <t xml:space="preserve">DISCOVER</t>
  </si>
  <si>
    <t xml:space="preserve">AMERICAN EXPRESS</t>
  </si>
  <si>
    <t xml:space="preserve">DEBIT CARD</t>
  </si>
  <si>
    <t xml:space="preserve">Summary By Location (23 locations)</t>
  </si>
  <si>
    <t xml:space="preserve">Location ID</t>
  </si>
  <si>
    <t xml:space="preserve">Processed Amount</t>
  </si>
  <si>
    <t xml:space="preserve">Row check</t>
  </si>
  <si>
    <t xml:space="preserve">Paid by Others per list</t>
  </si>
  <si>
    <t xml:space="preserve">PBO diff</t>
  </si>
  <si>
    <t xml:space="preserve">496116308883</t>
  </si>
  <si>
    <t xml:space="preserve">496116313883</t>
  </si>
  <si>
    <t xml:space="preserve">496116314881</t>
  </si>
  <si>
    <t xml:space="preserve">496116316886</t>
  </si>
  <si>
    <t xml:space="preserve">496116317884</t>
  </si>
  <si>
    <t xml:space="preserve">496116318882</t>
  </si>
  <si>
    <t xml:space="preserve">496116319880</t>
  </si>
  <si>
    <t xml:space="preserve">496116321886</t>
  </si>
  <si>
    <t xml:space="preserve">496116322884</t>
  </si>
  <si>
    <t xml:space="preserve">496116323882</t>
  </si>
  <si>
    <t xml:space="preserve">496116325887</t>
  </si>
  <si>
    <t xml:space="preserve">496116326885</t>
  </si>
  <si>
    <t xml:space="preserve">496116327883</t>
  </si>
  <si>
    <t xml:space="preserve">496116328881</t>
  </si>
  <si>
    <t xml:space="preserve">496116329889</t>
  </si>
  <si>
    <t xml:space="preserve">496116331885</t>
  </si>
  <si>
    <t xml:space="preserve">496116333881</t>
  </si>
  <si>
    <t xml:space="preserve">496116334889</t>
  </si>
  <si>
    <t xml:space="preserve">496116335886</t>
  </si>
  <si>
    <t xml:space="preserve">496195155882</t>
  </si>
  <si>
    <t xml:space="preserve">496613742881</t>
  </si>
  <si>
    <t xml:space="preserve">496613745884</t>
  </si>
  <si>
    <t xml:space="preserve">Transactions passed directly to the card association for processing and funding (American Express).</t>
  </si>
  <si>
    <t xml:space="preserve">Description</t>
  </si>
  <si>
    <t xml:space="preserve">Amount</t>
  </si>
  <si>
    <t xml:space="preserve">Transactions submitted to American Express</t>
  </si>
  <si>
    <t xml:space="preserve">Reference No.</t>
  </si>
  <si>
    <t xml:space="preserve">Card number (last 4)</t>
  </si>
  <si>
    <t xml:space="preserve">861813362701</t>
  </si>
  <si>
    <t xml:space="preserve">Cardholder disputing service/merchandise</t>
  </si>
  <si>
    <t xml:space="preserve">9127</t>
  </si>
  <si>
    <t xml:space="preserve">Total Credits</t>
  </si>
  <si>
    <t xml:space="preserve">Total Debits</t>
  </si>
  <si>
    <t xml:space="preserve">Net disputes</t>
  </si>
  <si>
    <t xml:space="preserve">Fee summary and reconciliations</t>
  </si>
  <si>
    <t xml:space="preserve">Fee matrix as printed (page 4)</t>
  </si>
  <si>
    <t xml:space="preserve">Visa</t>
  </si>
  <si>
    <t xml:space="preserve">Mastercard</t>
  </si>
  <si>
    <t xml:space="preserve">Amex</t>
  </si>
  <si>
    <t xml:space="preserve">Discover</t>
  </si>
  <si>
    <t xml:space="preserve">Debit</t>
  </si>
  <si>
    <t xml:space="preserve">Others</t>
  </si>
  <si>
    <t xml:space="preserve">Total</t>
  </si>
  <si>
    <t xml:space="preserve">Interchange Charges</t>
  </si>
  <si>
    <t xml:space="preserve">Service Charges</t>
  </si>
  <si>
    <t xml:space="preserve">Recomputed from FeeDetail (Others = Miscellaneous)</t>
  </si>
  <si>
    <t xml:space="preserve">Type / Product</t>
  </si>
  <si>
    <t xml:space="preserve">Miscellaneous</t>
  </si>
  <si>
    <t xml:space="preserve">Difference (computed - printed)</t>
  </si>
  <si>
    <t xml:space="preserve">Category subtotals</t>
  </si>
  <si>
    <t xml:space="preserve">Category</t>
  </si>
  <si>
    <t xml:space="preserve">Statement subtotal</t>
  </si>
  <si>
    <t xml:space="preserve">Account Fees</t>
  </si>
  <si>
    <t xml:space="preserve">Debit Fees</t>
  </si>
  <si>
    <t xml:space="preserve">Debit Network Fees</t>
  </si>
  <si>
    <t xml:space="preserve">Transaction Fees</t>
  </si>
  <si>
    <t xml:space="preserve">Fee Summary (page 4)</t>
  </si>
  <si>
    <t xml:space="preserve">Component</t>
  </si>
  <si>
    <t xml:space="preserve">Computed from FeeDetail</t>
  </si>
  <si>
    <t xml:space="preserve">IC/PF (interchange / program fees)</t>
  </si>
  <si>
    <t xml:space="preserve">Total fees</t>
  </si>
  <si>
    <t xml:space="preserve">Why IC/PF (page 4) differs from the interchange table total</t>
  </si>
  <si>
    <t xml:space="preserve">Interchange table grand total (Interchange sheet)</t>
  </si>
  <si>
    <t xml:space="preserve">+ Assessments and network fees typed "Interchange Charges"</t>
  </si>
  <si>
    <t xml:space="preserve">+ Debit interchange (fee list only; the interchange table shows $0.00 for all debit networks)</t>
  </si>
  <si>
    <t xml:space="preserve">Reconstructed IC/PF (sum of the three lines)</t>
  </si>
  <si>
    <t xml:space="preserve">IC/PF printed on the Fee Summary</t>
  </si>
  <si>
    <t xml:space="preserve">Per brand: interchange table + assessments = fee matrix Interchange row</t>
  </si>
  <si>
    <t xml:space="preserve">Brand</t>
  </si>
  <si>
    <t xml:space="preserve">Assessments in fee list</t>
  </si>
  <si>
    <t xml:space="preserve">Reconstructed</t>
  </si>
  <si>
    <t xml:space="preserve">Fee matrix (printed)</t>
  </si>
  <si>
    <t xml:space="preserve">Fee mix printed (pie chart, page 4) vs recomputed</t>
  </si>
  <si>
    <t xml:space="preserve">Printed</t>
  </si>
  <si>
    <t xml:space="preserve">Recomputed</t>
  </si>
  <si>
    <t xml:space="preserve">Printed - recomputed (4 dp)</t>
  </si>
  <si>
    <t xml:space="preserve">Interchange Charges (IC/PF)</t>
  </si>
  <si>
    <t xml:space="preserve">Fee detail (all 357 lines)</t>
  </si>
  <si>
    <t xml:space="preserve">Category and Product are printed only on the first row of each group; they are forward-filled here. Recomputed = -(basis x rate) where the description states both.</t>
  </si>
  <si>
    <t xml:space="preserve">Product</t>
  </si>
  <si>
    <t xml:space="preserve">Basis type</t>
  </si>
  <si>
    <t xml:space="preserve">Basis value</t>
  </si>
  <si>
    <t xml:space="preserve">Rate</t>
  </si>
  <si>
    <t xml:space="preserve">Variance</t>
  </si>
  <si>
    <t xml:space="preserve">Note</t>
  </si>
  <si>
    <t xml:space="preserve">Typed as Interchange but is an assessment / network fee</t>
  </si>
  <si>
    <t xml:space="preserve">MC MONTHLY LOCATION FEE</t>
  </si>
  <si>
    <t xml:space="preserve">VISA INTL SERVICE FEE - BASE 0 TRANS TOTALING $7.15</t>
  </si>
  <si>
    <t xml:space="preserve">ILK-COMMERCIAL SOLUTIONS FEE $411.57 AT .000100</t>
  </si>
  <si>
    <t xml:space="preserve">Sales base</t>
  </si>
  <si>
    <t xml:space="preserve">ILK-COMMERCIAL SOLUTIONS FEE $410.67 AT .000100</t>
  </si>
  <si>
    <t xml:space="preserve">REGULATORY PRODUCT FEE</t>
  </si>
  <si>
    <t xml:space="preserve">ILK-COMMERCIAL SOLUTIONS FEE $1,240.97 AT .000100</t>
  </si>
  <si>
    <t xml:space="preserve">ANNUAL COMPLIANCE SVC FEE</t>
  </si>
  <si>
    <t xml:space="preserve">VS INTL ACQUIRER FEE 0 TRANS TOTALING $7.15</t>
  </si>
  <si>
    <t xml:space="preserve">MC GLOBAL ACQUIRER FEE 0 TRANS TOTALING $985.40</t>
  </si>
  <si>
    <t xml:space="preserve">INCOMING CHARGEBACKS ALL 1 TRANSACTIONS AT 35</t>
  </si>
  <si>
    <t xml:space="preserve">Transactions</t>
  </si>
  <si>
    <t xml:space="preserve">ACCOUNT MINIMUM FEE 25.00 MINIMUM LEVEL LESS 0.00</t>
  </si>
  <si>
    <t xml:space="preserve">ILK-COMMERCIAL SOLUTIONS FEE $209.79 AT .000100</t>
  </si>
  <si>
    <t xml:space="preserve">ILK-COMMERCIAL SOLUTIONS FEE $1,108.95 AT .000100</t>
  </si>
  <si>
    <t xml:space="preserve">US CROSS BORDER FEE 0 TRANS TOTALING $985.40</t>
  </si>
  <si>
    <t xml:space="preserve">VISA NETWORK FEE CP 1B-08</t>
  </si>
  <si>
    <t xml:space="preserve">ILK-COMMERCIAL SOLUTIONS FEE $483.68 AT .000100</t>
  </si>
  <si>
    <t xml:space="preserve">VISA CB/EXCPT PACKAGE MAIL 1 TRANSACTIONS AT 0.78</t>
  </si>
  <si>
    <t xml:space="preserve">VISA NETWORK FEE CNP 2-09</t>
  </si>
  <si>
    <t xml:space="preserve">MC-MOTO DOMESTIC FEE $25,506.68 AT .000150</t>
  </si>
  <si>
    <t xml:space="preserve">MC-MOTO DOMESTIC FEE $66,812.23 AT .000150</t>
  </si>
  <si>
    <t xml:space="preserve">MC-MOTO DOMESTIC FEE $86,963.63 AT .000150</t>
  </si>
  <si>
    <t xml:space="preserve">MC-MOTO DOMESTIC FEE $49,052.79 AT .000150</t>
  </si>
  <si>
    <t xml:space="preserve">MC-MOTO DOMESTIC FEE DECLINE $26,812.10 AT .000150</t>
  </si>
  <si>
    <t xml:space="preserve">MC-MOTO DOMESTIC FEE DECLINE $36,156.88 AT .000150</t>
  </si>
  <si>
    <t xml:space="preserve">MC-MOTO DOMESTIC FEE $732.81 AT .000150</t>
  </si>
  <si>
    <t xml:space="preserve">MC-MOTO DOMESTIC FEE $68,502.34 AT .000150</t>
  </si>
  <si>
    <t xml:space="preserve">MC-MOTO DOMESTIC FEE DECLINE $23,576.48 AT .000150</t>
  </si>
  <si>
    <t xml:space="preserve">MC-MOTO DOMESTIC FEE DECLINE $29,498.87 AT .000150</t>
  </si>
  <si>
    <t xml:space="preserve">MC-MOTO DOMESTIC FEE DECLINE $13,171.15 AT .000150</t>
  </si>
  <si>
    <t xml:space="preserve">MC-MOTO DOMESTIC FEE DECLINE $9,287.32 AT .000150</t>
  </si>
  <si>
    <t xml:space="preserve">MC-MOTO DOMESTIC FEE $19,694.75 AT .000150</t>
  </si>
  <si>
    <t xml:space="preserve">MC-MOTO DOMESTIC FEE DECLINE $2,479.06 AT .000150</t>
  </si>
  <si>
    <t xml:space="preserve">MC-MOTO DOMESTIC FEE $32,614.18 AT .000150</t>
  </si>
  <si>
    <t xml:space="preserve">MC-MOTO DOMESTIC FEE DECLINE $32,355.76 AT .000150</t>
  </si>
  <si>
    <t xml:space="preserve">MC-MOTO DOMESTIC FEE DECLINE $1,487.67 AT .000150</t>
  </si>
  <si>
    <t xml:space="preserve">MC-MOTO DOMESTIC FEE $100,284.58 AT .000150</t>
  </si>
  <si>
    <t xml:space="preserve">MC-MOTO DOMESTIC FEE $114,731.60 AT .000150</t>
  </si>
  <si>
    <t xml:space="preserve">MC-MOTO DOMESTIC FEE DECLINE $55.00 AT .000150</t>
  </si>
  <si>
    <t xml:space="preserve">MC-MOTO DOMESTIC FEE $103,049.08 AT .000150</t>
  </si>
  <si>
    <t xml:space="preserve">MC-MOTO DOMESTIC FEE $72,875.81 AT .000150</t>
  </si>
  <si>
    <t xml:space="preserve">MC-MOTO DOMESTIC FEE $264,682.43 AT .000150</t>
  </si>
  <si>
    <t xml:space="preserve">MC-MOTO DOMESTIC FEE DECLINE $8,280.65 AT .000150</t>
  </si>
  <si>
    <t xml:space="preserve">MC-MOTO DOMESTIC FEE $16,811.67 AT .000150</t>
  </si>
  <si>
    <t xml:space="preserve">MC-MOTO DOMESTIC FEE $141,467.07 AT .000150</t>
  </si>
  <si>
    <t xml:space="preserve">MC-MOTO DOMESTIC FEE $79,092.82 AT .000150</t>
  </si>
  <si>
    <t xml:space="preserve">MC-MOTO DOMESTIC FEE DECLINE $129,318.05 AT .000150</t>
  </si>
  <si>
    <t xml:space="preserve">MC-MOTO DOMESTIC FEE $16,954.65 AT .000150</t>
  </si>
  <si>
    <t xml:space="preserve">MC-MOTO DOMESTIC FEE $116,522.43 AT .000150</t>
  </si>
  <si>
    <t xml:space="preserve">MC-MOTO DOMESTIC FEE DECLINE $47,837.12 AT .000150</t>
  </si>
  <si>
    <t xml:space="preserve">MC-MOTO DOMESTIC FEE DECLINE $10,200.90 AT .000150</t>
  </si>
  <si>
    <t xml:space="preserve">MC-MOTO DOMESTIC FEE $97,768.29 AT .000150</t>
  </si>
  <si>
    <t xml:space="preserve">MC-MOTO DOMESTIC FEE $345,691.08 AT .000150</t>
  </si>
  <si>
    <t xml:space="preserve">MC-MOTO DOMESTIC FEE $94,688.21 AT .000150</t>
  </si>
  <si>
    <t xml:space="preserve">MC-MOTO DOMESTIC FEE $19,889.09 AT .000150</t>
  </si>
  <si>
    <t xml:space="preserve">MC-MOTO DOMESTIC FEE DECLINE $522.93 AT .000150</t>
  </si>
  <si>
    <t xml:space="preserve">VI-COMMERCIAL SOLUTIONS FEE .000100 TIMES $4,061.43</t>
  </si>
  <si>
    <t xml:space="preserve">VI-COMMERCIAL SOLUTIONS FEE .000100 TIMES $188,837.53</t>
  </si>
  <si>
    <t xml:space="preserve">VI CEDP COMM ENH DATA PGM FEE $68,943.27 AT .000500</t>
  </si>
  <si>
    <t xml:space="preserve">VI-COMMERCIAL SOLUTIONS FEE .000100 TIMES $328,816.94</t>
  </si>
  <si>
    <t xml:space="preserve">VI-COMMERCIAL SOLUTIONS FEE .000100 TIMES $106,666.32</t>
  </si>
  <si>
    <t xml:space="preserve">VI-COMMERCIAL SOLUTIONS FEE .000100 TIMES $51,903.96</t>
  </si>
  <si>
    <t xml:space="preserve">VI CEDP COMM ENH DATA PGM FEE $1,936.65 AT .000500</t>
  </si>
  <si>
    <t xml:space="preserve">VI CEDP COMM ENH DATA PGM FEE $54,037.24 AT .000500</t>
  </si>
  <si>
    <t xml:space="preserve">VI CEDP COMM ENH DATA PGM FEE $1,150.38 AT .000500</t>
  </si>
  <si>
    <t xml:space="preserve">VI CEDP COMM ENH DATA PGM FEE $9,082.30 AT .000500</t>
  </si>
  <si>
    <t xml:space="preserve">VI CEDP COMM ENH DATA PGM FEE $6,997.39 AT .000500</t>
  </si>
  <si>
    <t xml:space="preserve">VI CEDP COMM ENH DATA PGM FEE $64,204.55 AT .000500</t>
  </si>
  <si>
    <t xml:space="preserve">VI CEDP COMM ENH DATA PGM FEE $2,018.50 AT .000500</t>
  </si>
  <si>
    <t xml:space="preserve">VI-COMMERCIAL SOLUTIONS FEE .000100 TIMES $140,613.07</t>
  </si>
  <si>
    <t xml:space="preserve">VI-COMMERCIAL SOLUTIONS FEE .000100 TIMES $183,672.60</t>
  </si>
  <si>
    <t xml:space="preserve">VI CEDP COMM ENH DATA PGM FEE $78,195.18 AT .000500</t>
  </si>
  <si>
    <t xml:space="preserve">VI CEDP COMM ENH DATA PGM FEE $12,123.41 AT .000500</t>
  </si>
  <si>
    <t xml:space="preserve">VI-COMMERCIAL SOLUTIONS FEE .000100 TIMES $227,211.87</t>
  </si>
  <si>
    <t xml:space="preserve">VI-COMMERCIAL SOLUTIONS FEE .000100 TIMES $115,405.16</t>
  </si>
  <si>
    <t xml:space="preserve">VI-COMMERCIAL SOLUTIONS FEE .000100 TIMES $202,774.89</t>
  </si>
  <si>
    <t xml:space="preserve">VI-COMMERCIAL SOLUTIONS FEE .000100 TIMES $24,975.95</t>
  </si>
  <si>
    <t xml:space="preserve">VI-COMMERCIAL SOLUTIONS FEE .000100 TIMES $359,036.04</t>
  </si>
  <si>
    <t xml:space="preserve">VI-COMMERCIAL SOLUTIONS FEE .000100 TIMES $200,053.12</t>
  </si>
  <si>
    <t xml:space="preserve">VI-COMMERCIAL SOLUTIONS FEE .000100 TIMES $146,449.29</t>
  </si>
  <si>
    <t xml:space="preserve">VI CEDP COMM ENH DATA PGM FEE $3,602.84 AT .000500</t>
  </si>
  <si>
    <t xml:space="preserve">VI-COMMERCIAL SOLUTIONS FEE .000100 TIMES $221,722.86</t>
  </si>
  <si>
    <t xml:space="preserve">VI-COMMERCIAL SOLUTIONS FEE .000100 TIMES $27,270.75</t>
  </si>
  <si>
    <t xml:space="preserve">VI-COMMERCIAL SOLUTIONS FEE .000100 TIMES $197,168.31</t>
  </si>
  <si>
    <t xml:space="preserve">VI-COMMERCIAL SOLUTIONS FEE .000100 TIMES $95,397.73</t>
  </si>
  <si>
    <t xml:space="preserve">VI CEDP COMM ENH DATA PGM FEE $956.03 AT .000500</t>
  </si>
  <si>
    <t xml:space="preserve">VI CEDP COMM ENH DATA PGM FEE $12,962.79 AT .000500</t>
  </si>
  <si>
    <t xml:space="preserve">VI-COMMERCIAL SOLUTIONS FEE .000100 TIMES $110,502.67</t>
  </si>
  <si>
    <t xml:space="preserve">VI CEDP COMM ENH DATA PGM FEE $142,087.96 AT .000500</t>
  </si>
  <si>
    <t xml:space="preserve">VI CEDP COMM ENH DATA PGM FEE $31,999.80 AT .000500</t>
  </si>
  <si>
    <t xml:space="preserve">VI-COMMERCIAL SOLUTIONS FEE .000100 TIMES $15,659.79</t>
  </si>
  <si>
    <t xml:space="preserve">VI CEDP COMM ENH DATA PGM FEE $30,807.83 AT .000500</t>
  </si>
  <si>
    <t xml:space="preserve">VI CEDP COMM ENH DATA PGM FEE $19,808.41 AT .000500</t>
  </si>
  <si>
    <t xml:space="preserve">VI CEDP COMM ENH DATA PGM FEE $9,161.08 AT .000500</t>
  </si>
  <si>
    <t xml:space="preserve">VI CEDP COMM ENH DATA PGM FEE $18,711.00 AT .000500</t>
  </si>
  <si>
    <t xml:space="preserve">VI-COMMERCIAL SOLUTIONS FEE .000100 TIMES $76,318.01</t>
  </si>
  <si>
    <t xml:space="preserve">VI-COMMERCIAL SOLUTIONS FEE .000100 TIMES $83,808.24</t>
  </si>
  <si>
    <t xml:space="preserve">MAESTRO</t>
  </si>
  <si>
    <t xml:space="preserve">ACCEL ADVANTAGE REG</t>
  </si>
  <si>
    <t xml:space="preserve">MAESTRO REG DECLINE</t>
  </si>
  <si>
    <t xml:space="preserve">MAESTRO DECLINE</t>
  </si>
  <si>
    <t xml:space="preserve">ACCEL DECLINE</t>
  </si>
  <si>
    <t xml:space="preserve">PAVD DECLINE</t>
  </si>
  <si>
    <t xml:space="preserve">PAVD</t>
  </si>
  <si>
    <t xml:space="preserve">ACCEL ADVANTAGE REG DECLINE</t>
  </si>
  <si>
    <t xml:space="preserve">STAR NE PREFER REG</t>
  </si>
  <si>
    <t xml:space="preserve">ACCEL</t>
  </si>
  <si>
    <t xml:space="preserve">PAVD REG</t>
  </si>
  <si>
    <t xml:space="preserve">ACCEL ADVANTAGE DECLINE</t>
  </si>
  <si>
    <t xml:space="preserve">STAR NE PREFER REG DECLINE</t>
  </si>
  <si>
    <t xml:space="preserve">STAR NE PREFER</t>
  </si>
  <si>
    <t xml:space="preserve">ACCEL ADVANTAGE</t>
  </si>
  <si>
    <t xml:space="preserve">STAR NE PREFER DECLINE</t>
  </si>
  <si>
    <t xml:space="preserve">MAESTRO REG</t>
  </si>
  <si>
    <t xml:space="preserve">STAR NE</t>
  </si>
  <si>
    <t xml:space="preserve">INTERLINK BUS</t>
  </si>
  <si>
    <t xml:space="preserve">PULSE PAY LIMITED/PREPAID</t>
  </si>
  <si>
    <t xml:space="preserve">DEBIT/ATM CARD TRANSACTION FEE 49 TRANSACTIONS AT 0.1</t>
  </si>
  <si>
    <t xml:space="preserve">MC PROC INTEG FINAL AUTH 0 TRANS TOTALING $12105.66</t>
  </si>
  <si>
    <t xml:space="preserve">CARDPOINTE PLATFORM FEE</t>
  </si>
  <si>
    <t xml:space="preserve">DIGITAL INVESTMENT FEE $70311.30 AT0.0001</t>
  </si>
  <si>
    <t xml:space="preserve">VI BASE II SYSTEM FILE FEE 5340 TRANSACTIONS AT 0.0025</t>
  </si>
  <si>
    <t xml:space="preserve">AVS WATS AUTHORIZATION FEE 10826 TRANSACTIONS AT 0.05</t>
  </si>
  <si>
    <t xml:space="preserve">MC-AUTH DIGITAL ENABLEMENT FEE $491630.15 AT0.00025</t>
  </si>
  <si>
    <t xml:space="preserve">MC CLEARING CONNECTIVITY FEE 2581 KILOBYTES AT 0.002294</t>
  </si>
  <si>
    <t xml:space="preserve">Kilobytes</t>
  </si>
  <si>
    <t xml:space="preserve">VI BASE II CR VCHER FEE US CR 132 TRANSACTIONS AT 0.0195</t>
  </si>
  <si>
    <t xml:space="preserve">BATCH SETTLEMENT FEE 803 TRANSACTIONS AT 0.1</t>
  </si>
  <si>
    <t xml:space="preserve">VI BASE II CR VCHER FEE US D/P 143 TRANSACTIONS AT 0.0155</t>
  </si>
  <si>
    <t xml:space="preserve">MC NTWRK ACCESS SETTLEMENT FEE 190 TRANSACTIONS AT 0.0195</t>
  </si>
  <si>
    <t xml:space="preserve">Y</t>
  </si>
  <si>
    <t xml:space="preserve">MC LICENSE VOLUME FEE 0.000046 DISC RATE TIMES $2664297.23</t>
  </si>
  <si>
    <t xml:space="preserve">MC ACQUIRER AVS BILLING 1860 TRANSACTIONS AT 0.01</t>
  </si>
  <si>
    <t xml:space="preserve">MC-AUTH DIGITAL ENABLEMENT MIN 434 TRANSACTIONS AT 0.025</t>
  </si>
  <si>
    <t xml:space="preserve">MC NETWORK ACCESS AUTH FEE 3347 TRANSACTIONS AT 0.0195</t>
  </si>
  <si>
    <t xml:space="preserve">MC PIF DETAIL REPORT 7 TRANSACTIONS AT 0.02</t>
  </si>
  <si>
    <t xml:space="preserve">MC ASSESSMNT TRAN AMT &gt;=$1K 0 X TRNS $1665458.91</t>
  </si>
  <si>
    <t xml:space="preserve">MASTERCARD SALES DISCOUNT 0.0015 DISC RATE TIMES $2051547.43</t>
  </si>
  <si>
    <t xml:space="preserve">MC-NTWK ACCESS AUTH FEE NONUS 1 TRANSACTIONS AT .029500</t>
  </si>
  <si>
    <t xml:space="preserve">MASTERCARD AUTH FEE 3559 TRANSACTIONS AT 0.1</t>
  </si>
  <si>
    <t xml:space="preserve">MC-AUTH DIGITAL ENABLEMENT MAX 302 TRANSACTIONS AT 0.5</t>
  </si>
  <si>
    <t xml:space="preserve">MC TPE EXCESSIVE AUTH 7 TRANSACTIONS AT 0.5</t>
  </si>
  <si>
    <t xml:space="preserve">MC AUTH CONNECTIVITY FEE 2983 KILOBYTES AT 0.002294</t>
  </si>
  <si>
    <t xml:space="preserve">MC-DECLINE REASON CODE SVC FEE 1 TRANSACTIONS AT 0.02</t>
  </si>
  <si>
    <t xml:space="preserve">MASTERCARD ASSESSMENT FEE 0.0014 TIMES $2664297.23</t>
  </si>
  <si>
    <t xml:space="preserve">MASTERCARD DEBIT SALES DISC 0.0015 DISC RATE TIMES $612749.80</t>
  </si>
  <si>
    <t xml:space="preserve">CNP AVS FEE 1490 TRANSACTIONS AT 0.01</t>
  </si>
  <si>
    <t xml:space="preserve">MC-WORLD HV SMALL TICKET CP</t>
  </si>
  <si>
    <t xml:space="preserve">MC-REG INCENT FRF ADJ POS (DB)</t>
  </si>
  <si>
    <t xml:space="preserve">MC-CORP DATA RATE I (US) PUR</t>
  </si>
  <si>
    <t xml:space="preserve">MC-CORP DATA RATE II (US) BUS</t>
  </si>
  <si>
    <t xml:space="preserve">MC-US STP B2B VIP 7</t>
  </si>
  <si>
    <t xml:space="preserve">MC-COM DATA RATE I FLT NFUEL</t>
  </si>
  <si>
    <t xml:space="preserve">MC-WORLD ELITE MERIT I</t>
  </si>
  <si>
    <t xml:space="preserve">MC-DOMESTIC MERIT I (DB)</t>
  </si>
  <si>
    <t xml:space="preserve">MC-WRLD ELITE SMALL TICKET CP</t>
  </si>
  <si>
    <t xml:space="preserve">MC-COMM DATA RATE II BUS (DB)</t>
  </si>
  <si>
    <t xml:space="preserve">MC-WORLDCARD MERIT I</t>
  </si>
  <si>
    <t xml:space="preserve">MC-INT CON RTE 2 CP PREM</t>
  </si>
  <si>
    <t xml:space="preserve">MC-DOMESTIC MERIT III</t>
  </si>
  <si>
    <t xml:space="preserve">MC-CORP DATA RATE I (US) BUS</t>
  </si>
  <si>
    <t xml:space="preserve">MC-REG CONSM WFRAUD ADJ MC(DB)</t>
  </si>
  <si>
    <t xml:space="preserve">MC-CORP DATA RATE II (US) PUR</t>
  </si>
  <si>
    <t xml:space="preserve">MC-WRLD ELITE SMALL TICKET CNP</t>
  </si>
  <si>
    <t xml:space="preserve">MC-US STP B2B VIP 9</t>
  </si>
  <si>
    <t xml:space="preserve">MC-REGULATED FRD ADJ COMM (DB)</t>
  </si>
  <si>
    <t xml:space="preserve">MC-ENHANCED MERIT I</t>
  </si>
  <si>
    <t xml:space="preserve">MC-MERIT III (PP)</t>
  </si>
  <si>
    <t xml:space="preserve">MC-BUS LEVEL 5 DATA RATE I</t>
  </si>
  <si>
    <t xml:space="preserve">MC-WORLDCARD MERIT III</t>
  </si>
  <si>
    <t xml:space="preserve">MC-BUS LEVEL 4 DATA RATE II</t>
  </si>
  <si>
    <t xml:space="preserve">MC-ENHANCED MERIT III BASE</t>
  </si>
  <si>
    <t xml:space="preserve">MC-BUS LEVEL 3 DATA RATE I</t>
  </si>
  <si>
    <t xml:space="preserve">MC-HIGH VAL MERIT I</t>
  </si>
  <si>
    <t xml:space="preserve">MC-CORP BUSINESS INTL FLT</t>
  </si>
  <si>
    <t xml:space="preserve">MC-WORLD SMALL TICKET CP</t>
  </si>
  <si>
    <t xml:space="preserve">MC-DOMESTIC MERIT III (DB)</t>
  </si>
  <si>
    <t xml:space="preserve">MC-BUS LEVEL 5 DATA RATE II</t>
  </si>
  <si>
    <t xml:space="preserve">MC-BUS LEVEL 3 DATA RATE II</t>
  </si>
  <si>
    <t xml:space="preserve">MC-BUS LEVEL 4 DATA RATE I</t>
  </si>
  <si>
    <t xml:space="preserve">MC-CORP DATA RATE II (US) CORP</t>
  </si>
  <si>
    <t xml:space="preserve">MC-COMML DATA RT II FLT NONFL</t>
  </si>
  <si>
    <t xml:space="preserve">MC-WORLD ELITE MERIT III</t>
  </si>
  <si>
    <t xml:space="preserve">MC-BUS LEVEL 2 DATA RATE II</t>
  </si>
  <si>
    <t xml:space="preserve">MC-HIGH VAL MERIT III BASE</t>
  </si>
  <si>
    <t xml:space="preserve">MC-BUS LEVEL 2 DATA RATE I</t>
  </si>
  <si>
    <t xml:space="preserve">MC-DOMESTIC MERIT I</t>
  </si>
  <si>
    <t xml:space="preserve">VI DIGITAL COMM CP SVCS FEE $6,979.27 AT .000100</t>
  </si>
  <si>
    <t xml:space="preserve">VI DIGTL COM US CNP SVC FEE MN 5 TRANSACTIONS AT .010000</t>
  </si>
  <si>
    <t xml:space="preserve">VISA DEBIT SALES DISCOUNT 0.0015 DISC RATE TIMES $1826627.84</t>
  </si>
  <si>
    <t xml:space="preserve">VI DIGTL COM US CNP SVC FEE MN 15 TRANSACTIONS AT .010000</t>
  </si>
  <si>
    <t xml:space="preserve">VI DIGITAL COMM CP SVCS FEE $2,392.35 AT .000100</t>
  </si>
  <si>
    <t xml:space="preserve">VISA ASSESSMENT FEE CR 0.0014 TIMES $2482035.50</t>
  </si>
  <si>
    <t xml:space="preserve">VI DIGTL COMRC US CNP SVCS FEE $136,815.29 AT .000150</t>
  </si>
  <si>
    <t xml:space="preserve">VISA SALES DISCOUNT 0.0015 DISC RATE TIMES $2482035.50</t>
  </si>
  <si>
    <t xml:space="preserve">VI DIGITAL COMM CP SVCS FEE $61.34 AT .000100</t>
  </si>
  <si>
    <t xml:space="preserve">VI DIGITAL COMM CP SVCS FEE $9,822.15 AT .000100</t>
  </si>
  <si>
    <t xml:space="preserve">VI NTWK ACQ PROC FEE INTL CR 1 TRANSACTIONS AT 0.0395</t>
  </si>
  <si>
    <t xml:space="preserve">VI DIGTL COM US CNP SVC FEE MN 20 TRANSACTIONS AT .010000</t>
  </si>
  <si>
    <t xml:space="preserve">VI DIGITAL COMM CP SVCS FEE $4,080.96 AT .000100</t>
  </si>
  <si>
    <t xml:space="preserve">VI-ADDRESS VER SVC FEE 2979 TRANSACTIONS AT 0.001</t>
  </si>
  <si>
    <t xml:space="preserve">VI DIGTL COM US CNP SVC FEE MN 47 TRANSACTIONS AT .010000</t>
  </si>
  <si>
    <t xml:space="preserve">VI DIGTL COM US CNP SVC FEE MN 27 TRANSACTIONS AT .010000</t>
  </si>
  <si>
    <t xml:space="preserve">VI DIGTL COMRC US CNP SVCS FEE $195,743.41 AT .000150</t>
  </si>
  <si>
    <t xml:space="preserve">VI DIGTL COM US CNP SVC FEE MN 6 TRANSACTIONS AT .010000</t>
  </si>
  <si>
    <t xml:space="preserve">VI DIGTL COMRC US CNP SVCS FEE $189,927.74 AT .000150</t>
  </si>
  <si>
    <t xml:space="preserve">VI DIGITAL COMM CP SVCS FEE $6,324.38 AT .000100</t>
  </si>
  <si>
    <t xml:space="preserve">VI INTEGRITY FEE DETAIL REPORT 25 TRANSACTIONS AT .002000</t>
  </si>
  <si>
    <t xml:space="preserve">VI DIGTL COM US CNP SVC FEE MN 13 TRANSACTIONS AT .010000</t>
  </si>
  <si>
    <t xml:space="preserve">VI DIGTL COM US CNP SVC FEE MN 28 TRANSACTIONS AT .010000</t>
  </si>
  <si>
    <t xml:space="preserve">VI DIGITAL COMM CP SVCS FEE $2,364.15 AT .000100</t>
  </si>
  <si>
    <t xml:space="preserve">VI DIGTL COMRC US CNP SVCS FEE $89,872.36 AT .000150</t>
  </si>
  <si>
    <t xml:space="preserve">VI DIGITAL COMM CP SVCS FEE $10,001.36 AT .000100</t>
  </si>
  <si>
    <t xml:space="preserve">VI DIGITAL COMM CP SVCS FEE $37,428.88 AT .000100</t>
  </si>
  <si>
    <t xml:space="preserve">VI DIGTL COMRC US CNP SVCS FEE $25,967.80 AT .000150</t>
  </si>
  <si>
    <t xml:space="preserve">VI DIGTL COM US CNP SVC FEE MN 10 TRANSACTIONS AT .010000</t>
  </si>
  <si>
    <t xml:space="preserve">VI NTWK ACQ PROC FEE US DB/PP 2721 TRANSACTIONS AT 0.0155</t>
  </si>
  <si>
    <t xml:space="preserve">VI NTWK ACQ PROC FEE US CR 2584 TRANSACTIONS AT 0.0195</t>
  </si>
  <si>
    <t xml:space="preserve">VI NEVER APPROVE REATTEMPT FEE 37 TRANSACTIONS AT 0.1</t>
  </si>
  <si>
    <t xml:space="preserve">VI DIGITAL COMM CP SVCS FEE $172.03 AT .000100</t>
  </si>
  <si>
    <t xml:space="preserve">VI DIGITAL COMM CP SVCS FEE $14,352.53 AT .000100</t>
  </si>
  <si>
    <t xml:space="preserve">VI DIGTL COMRC US CNP SVCS FEE $116,966.19 AT .000150</t>
  </si>
  <si>
    <t xml:space="preserve">VI DIGITAL COMM CP SVCS FEE $12,914.62 AT .000100</t>
  </si>
  <si>
    <t xml:space="preserve">VI DIGTL COMRC US CNP SVCS FEE $131,379.29 AT .000150</t>
  </si>
  <si>
    <t xml:space="preserve">VI DIGITAL COMM CP SVCS FEE $7,622.14 AT .000100</t>
  </si>
  <si>
    <t xml:space="preserve">VI DIGTL COMRC US CNP SVCS FEE $303,544.61 AT .000150</t>
  </si>
  <si>
    <t xml:space="preserve">VI DIGTL COMRC US CNP SVCS FEE $157,173.64 AT .000150</t>
  </si>
  <si>
    <t xml:space="preserve">VI DIGTL COM US CNP SVC FEE MN 1 TRANSACTIONS AT .010000</t>
  </si>
  <si>
    <t xml:space="preserve">VI DIGTL COM US CNP SVC FEE MN 57 TRANSACTIONS AT .010000</t>
  </si>
  <si>
    <t xml:space="preserve">VI DIGITAL COMM CP SVCS FEE $3,198.79 AT .000100</t>
  </si>
  <si>
    <t xml:space="preserve">VI DIGTL COM US CNP SVC FEE MN 8 TRANSACTIONS AT .010000</t>
  </si>
  <si>
    <t xml:space="preserve">VI DIGTL COM US CNP SVC FEE MN 4 TRANSACTIONS AT .010000</t>
  </si>
  <si>
    <t xml:space="preserve">VI DIGTL COMRC US CNP SVCS FEE $347,064.54 AT .000150</t>
  </si>
  <si>
    <t xml:space="preserve">VI DIGTL COMRC US CNP SVCS FEE $23,952.33 AT .000150</t>
  </si>
  <si>
    <t xml:space="preserve">VI DIGITAL COMM CP SVCS FEE $21,546.79 AT .000100</t>
  </si>
  <si>
    <t xml:space="preserve">VI DIGTL COM US CNP SVC FEE MN 9 TRANSACTIONS AT .010000</t>
  </si>
  <si>
    <t xml:space="preserve">VI DIGTL COMRC US CNP SVCS FEE $20,748.46 AT .000150</t>
  </si>
  <si>
    <t xml:space="preserve">VI DIGTL COM US CNP SVC FEE MN 29 TRANSACTIONS AT .010000</t>
  </si>
  <si>
    <t xml:space="preserve">VI DIGITAL COMM CP SVCS FEE $3,886.11 AT .000100</t>
  </si>
  <si>
    <t xml:space="preserve">VI DIGTL COMRC US CNP SVCS FEE $148,890.04 AT .000150</t>
  </si>
  <si>
    <t xml:space="preserve">VI DIGTL COM US CNP SVC FEE MN 33 TRANSACTIONS AT .010000</t>
  </si>
  <si>
    <t xml:space="preserve">VI DIGTL COMRC US CNP SVCS FEE $68,994.55 AT .000150</t>
  </si>
  <si>
    <t xml:space="preserve">VI INTEGRITY FEE DETAIL REPORT 3 TRANSACTIONS AT .002000</t>
  </si>
  <si>
    <t xml:space="preserve">VISA MISUSE OF AUTH FEE 6 TRANSACTIONS AT 0.15</t>
  </si>
  <si>
    <t xml:space="preserve">VI DIGTL COM US CNP SVC FEE MN 22 TRANSACTIONS AT .010000</t>
  </si>
  <si>
    <t xml:space="preserve">VI DIGITAL COMM CP SVCS FEE $217.69 AT .000100</t>
  </si>
  <si>
    <t xml:space="preserve">VI DIGTL COMRC US CNP SVCS FEE $242,674.57 AT .000150</t>
  </si>
  <si>
    <t xml:space="preserve">VI DIGTL COMRC US CNP SVCS FEE $3,276.12 AT .000150</t>
  </si>
  <si>
    <t xml:space="preserve">VI INTEGRITY FEE DETAIL REPORT 20 TRANSACTIONS AT .002000</t>
  </si>
  <si>
    <t xml:space="preserve">VI DIGTL COM US CNP SVC FEE MN 43 TRANSACTIONS AT .010000</t>
  </si>
  <si>
    <t xml:space="preserve">VISA AUTH FEE 5581 TRANSACTIONS AT 0.1</t>
  </si>
  <si>
    <t xml:space="preserve">VI DIGTL COM US CNP SVC FEE MN 24 TRANSACTIONS AT .010000</t>
  </si>
  <si>
    <t xml:space="preserve">VI DIGITAL COMM CP SVCS FEE $1,386.80 AT .000100</t>
  </si>
  <si>
    <t xml:space="preserve">VI DIGITAL COMM CP SVCS FEE $6,011.80 AT .000100</t>
  </si>
  <si>
    <t xml:space="preserve">VI DIGTL COM US CNP SVC FEE MN 26 TRANSACTIONS AT .010000</t>
  </si>
  <si>
    <t xml:space="preserve">VI DIGITAL COMM CP SVCS FEE $51.02 AT .000100</t>
  </si>
  <si>
    <t xml:space="preserve">VI DIGTL COMRC US CNP SVCS FEE $237,165.21 AT .000150</t>
  </si>
  <si>
    <t xml:space="preserve">VI DIGTL COMRC US CNP SVCS FEE $136,366.61 AT .000150</t>
  </si>
  <si>
    <t xml:space="preserve">VI-DIG CM SVC CNP XB $1,230.44 AT .000350</t>
  </si>
  <si>
    <t xml:space="preserve">VISA ASSESSMENT FEE DB 0.0013 TIMES $1826627.84</t>
  </si>
  <si>
    <t xml:space="preserve">VI DIGTL COMRC US CNP SVCS FEE $73,036.50 AT .000150</t>
  </si>
  <si>
    <t xml:space="preserve">VI DIGTL COMRC US CNP SVCS FEE $358,377.15 AT .000150</t>
  </si>
  <si>
    <t xml:space="preserve">VI DIGTL COMRC US CNP SVCS FEE $56,787.05 AT .000150</t>
  </si>
  <si>
    <t xml:space="preserve">VI DIGTL COMRC US CNP SVCS FEE $176,155.78 AT .000150</t>
  </si>
  <si>
    <t xml:space="preserve">VI-US BUS TIER 1 PRD 1 CEDP</t>
  </si>
  <si>
    <t xml:space="preserve">VI-CORPORATE CREDIT PRODUCT 2</t>
  </si>
  <si>
    <t xml:space="preserve">VI-RETAIL P2 INFINITE SQ</t>
  </si>
  <si>
    <t xml:space="preserve">VI-US BUS TR2 PRD 2</t>
  </si>
  <si>
    <t xml:space="preserve">VI-CPS CNP (DB)</t>
  </si>
  <si>
    <t xml:space="preserve">VI-US BUS TR5 PRD 3</t>
  </si>
  <si>
    <t xml:space="preserve">VI-GSA LARGE TICKET</t>
  </si>
  <si>
    <t xml:space="preserve">VI-CNP P1 SIGN PREFERRED</t>
  </si>
  <si>
    <t xml:space="preserve">VI-US BUS TIER 3 PRD 2 CEDP</t>
  </si>
  <si>
    <t xml:space="preserve">VI-CPS SMALL TICKET (PP)</t>
  </si>
  <si>
    <t xml:space="preserve">VI-CPS CNP (PP)</t>
  </si>
  <si>
    <t xml:space="preserve">VI-CPS/RETAIL ALL OTHER (PP)</t>
  </si>
  <si>
    <t xml:space="preserve">VI-US BUS TIER 4 PRD 1 CEDP</t>
  </si>
  <si>
    <t xml:space="preserve">VI-US BUS TR4 PRD 1</t>
  </si>
  <si>
    <t xml:space="preserve">VI-US BUS TR1 PRD 2</t>
  </si>
  <si>
    <t xml:space="preserve">VI-BUSINESS CARD CNP (DB)</t>
  </si>
  <si>
    <t xml:space="preserve">VI-US BUS TR3 PRD 2</t>
  </si>
  <si>
    <t xml:space="preserve">VI-US PREMIUM BASE</t>
  </si>
  <si>
    <t xml:space="preserve">VI-US BUS TIER 4 PRD 2 CEDP</t>
  </si>
  <si>
    <t xml:space="preserve">VI-SERVICES SIGN PREF NTKN</t>
  </si>
  <si>
    <t xml:space="preserve">VI-PURCH CREDIT PRD 2 CEDP</t>
  </si>
  <si>
    <t xml:space="preserve">VI-US BUS TIER 5 PRD 1 CEDP</t>
  </si>
  <si>
    <t xml:space="preserve">VI-SERVICES INFINITE SQ NTKN</t>
  </si>
  <si>
    <t xml:space="preserve">VI-US BUS TIER 2 PRD 1 CEDP</t>
  </si>
  <si>
    <t xml:space="preserve">VI-US BUS TIER 1 PRD 2 CEDP</t>
  </si>
  <si>
    <t xml:space="preserve">VI-RETAIL ALL OTHER P2 TRAD</t>
  </si>
  <si>
    <t xml:space="preserve">VI-SERVICES TRADITIONAL</t>
  </si>
  <si>
    <t xml:space="preserve">VI-SERVICES SIGN PREFERRED</t>
  </si>
  <si>
    <t xml:space="preserve">VI-RETAIL P2 SIGNATURE</t>
  </si>
  <si>
    <t xml:space="preserve">VI-CNP P1 INFINITE SQ</t>
  </si>
  <si>
    <t xml:space="preserve">VI-US CPS/SMALL TCKT REG (DB)</t>
  </si>
  <si>
    <t xml:space="preserve">VI-US BUS TR1 PRD 1</t>
  </si>
  <si>
    <t xml:space="preserve">VI-REG CONSUMER MQ (DB)</t>
  </si>
  <si>
    <t xml:space="preserve">VI-PURCHASING CREDIT PRODUCT 2</t>
  </si>
  <si>
    <t xml:space="preserve">VI-US BUS TIER 2 PRD 2 CEDP</t>
  </si>
  <si>
    <t xml:space="preserve">VI-SERVICES SIGNATURE NTKN</t>
  </si>
  <si>
    <t xml:space="preserve">VI-RETAIL P2 SIGN PREFERRED</t>
  </si>
  <si>
    <t xml:space="preserve">VI-US BUS TR4 PRD 2</t>
  </si>
  <si>
    <t xml:space="preserve">VI-CPS/RETAIL ALL OTHER (DB)</t>
  </si>
  <si>
    <t xml:space="preserve">VI-CORPORATE CREDIT PRODUCT 1</t>
  </si>
  <si>
    <t xml:space="preserve">VI-CNP P1 SIGNATURE</t>
  </si>
  <si>
    <t xml:space="preserve">VI-US BUS TR2 PRD 1</t>
  </si>
  <si>
    <t xml:space="preserve">VI-CNP P1 TRADITIONAL</t>
  </si>
  <si>
    <t xml:space="preserve">VI-US REGULATED (DB)</t>
  </si>
  <si>
    <t xml:space="preserve">VI-US PURCHASE PRODUCT 3</t>
  </si>
  <si>
    <t xml:space="preserve">VI-US BUS TR4 PRD 3</t>
  </si>
  <si>
    <t xml:space="preserve">VI-RETAIL P2 TRAD REWARD</t>
  </si>
  <si>
    <t xml:space="preserve">VI-SERVICES TRAD RWDS NTKN</t>
  </si>
  <si>
    <t xml:space="preserve">VI-BUS PURCH RTL (PP)</t>
  </si>
  <si>
    <t xml:space="preserve">VI-PURCH CREDIT PRD 1 CEDP</t>
  </si>
  <si>
    <t xml:space="preserve">VI-US BUS TR5 PRD 2</t>
  </si>
  <si>
    <t xml:space="preserve">VI-PURCHASING CREDIT PRODUCT 1</t>
  </si>
  <si>
    <t xml:space="preserve">VI-SERVICES INFINITE SQ</t>
  </si>
  <si>
    <t xml:space="preserve">VI-BUSINESS CARD CP (DB)</t>
  </si>
  <si>
    <t xml:space="preserve">VI-SERVICES TRADITIONAL NTKN</t>
  </si>
  <si>
    <t xml:space="preserve">VI-US BUS TIER 3 PRD 1 CEDP</t>
  </si>
  <si>
    <t xml:space="preserve">VI-US BUS TR3 PRD 1</t>
  </si>
  <si>
    <t xml:space="preserve">VI-US BUS TR3 PRD 3</t>
  </si>
  <si>
    <t xml:space="preserve">VI-SERVICES TRAD REWARDS</t>
  </si>
  <si>
    <t xml:space="preserve">VI-US REGULATED COMM (DB)</t>
  </si>
  <si>
    <t xml:space="preserve">VI-US BUS TR5 PRD 1</t>
  </si>
  <si>
    <t xml:space="preserve">VI-CPS SMALL TICKET (DB)</t>
  </si>
  <si>
    <t xml:space="preserve">VI-SERVICES SIGNATURE</t>
  </si>
  <si>
    <t xml:space="preserve">DISCOVER SALES DISCOUNT 0.0015 DISC RATE TIMES $144478.17</t>
  </si>
  <si>
    <t xml:space="preserve">DISCOVER AUTH FEE 208 TRANSACTIONS AT 0.1</t>
  </si>
  <si>
    <t xml:space="preserve">DISCOVER DEBIT SALES DISCOUNT 0.0015 DISC RATE TIMES $9598.60</t>
  </si>
  <si>
    <t xml:space="preserve">DISCOVER DATA USAGE FEE 201 TRANSACTIONS AT 0.0025</t>
  </si>
  <si>
    <t xml:space="preserve">ADDRS VERIFICATION SERVICE FEE 201 TRANSACTIONS AT 0.005</t>
  </si>
  <si>
    <t xml:space="preserve">DISCOVER ASSESSMENT FEE 0.0014 TIMES $154076.77</t>
  </si>
  <si>
    <t xml:space="preserve">NETWORK AUTHORIZATION FEE 198 TRANSACTIONS AT 0.019</t>
  </si>
  <si>
    <t xml:space="preserve">DSCVR PSL RTL PR</t>
  </si>
  <si>
    <t xml:space="preserve">DSCVR PSLCARDNOTPRESENT(DB)</t>
  </si>
  <si>
    <t xml:space="preserve">DSCVR-COMMELECALLOTHERS(DB)</t>
  </si>
  <si>
    <t xml:space="preserve">DSCVR PSL RTL CP</t>
  </si>
  <si>
    <t xml:space="preserve">DSCVR PSL RTL PP</t>
  </si>
  <si>
    <t xml:space="preserve">DSCVR PSL RTL DB</t>
  </si>
  <si>
    <t xml:space="preserve">DSCVR PSLCARDNOTPRESENT(PPLUS)</t>
  </si>
  <si>
    <t xml:space="preserve">DSCVR PSLCARDNOTPRESENT(PREM)</t>
  </si>
  <si>
    <t xml:space="preserve">DSCVR PSLCARDNOTPRESENT(CP)</t>
  </si>
  <si>
    <t xml:space="preserve">AMEX AUTH FEE 1700 TRANSACTIONS AT 0.1</t>
  </si>
  <si>
    <t xml:space="preserve">ILK DIGITAL COMM CP SVCS FEE $2,827.35 AT .000100</t>
  </si>
  <si>
    <t xml:space="preserve">ILK DIGITAL COMM CP SVCS FEE $158.32 AT .000100</t>
  </si>
  <si>
    <t xml:space="preserve">ILK DIGITAL COMM CP SVCS FEE $50.59 AT .000100</t>
  </si>
  <si>
    <t xml:space="preserve">ILK DIGITAL COMM CP SVCS FEE $19,382.97 AT .000100</t>
  </si>
  <si>
    <t xml:space="preserve">ILK DIGITAL COMM CP SVCS FEE $483.68 AT .000100</t>
  </si>
  <si>
    <t xml:space="preserve">ILK DIGITAL COMM CP SVCS FEE $135.71 AT .000100</t>
  </si>
  <si>
    <t xml:space="preserve">ILK DIGITAL COMM CP SVCS FEE $485.99 AT .000100</t>
  </si>
  <si>
    <t xml:space="preserve">ILK DIGITAL COMM CP SVCS FEE $306.25 AT .000100</t>
  </si>
  <si>
    <t xml:space="preserve">ILK DIGITAL COMM CP SVCS FEE $584.85 AT .000100</t>
  </si>
  <si>
    <t xml:space="preserve">DEBIT SALES DISCOUNT 0.0015 DISC RATE TIMES $18152.97</t>
  </si>
  <si>
    <t xml:space="preserve">ILK DIGITAL COMM CP SVCS FEE $93.28 AT .000100</t>
  </si>
  <si>
    <t xml:space="preserve">ILK DIGITAL COMM CP SVCS FEE $1,319.66 AT .000100</t>
  </si>
  <si>
    <t xml:space="preserve">ILK DIGITAL COMM CP SVCS FEE $410.67 AT .000100</t>
  </si>
  <si>
    <t xml:space="preserve">ILK DIGITAL COMM CP SVCS FEE $172.58 AT .000100</t>
  </si>
  <si>
    <t xml:space="preserve">ILK DIGITAL COMM CP SVCS FEE $924.51 AT .000100</t>
  </si>
  <si>
    <t xml:space="preserve">Interchange Charges / Program Fees</t>
  </si>
  <si>
    <t xml:space="preserve">Recomputed = -(sales x rate + transactions x per-transaction fee). The printed rate is rounded to 4 decimals, so differences up to $0.05 are rounding.</t>
  </si>
  <si>
    <t xml:space="preserve">Product Description</t>
  </si>
  <si>
    <t xml:space="preserve">Sales Total</t>
  </si>
  <si>
    <t xml:space="preserve">% of Sales</t>
  </si>
  <si>
    <t xml:space="preserve">Total No. of Transactions</t>
  </si>
  <si>
    <t xml:space="preserve">% of Transactions</t>
  </si>
  <si>
    <t xml:space="preserve">Transaction Rate</t>
  </si>
  <si>
    <t xml:space="preserve">Per-transaction fee</t>
  </si>
  <si>
    <t xml:space="preserve">Interchange / Program Charges</t>
  </si>
  <si>
    <t xml:space="preserve">Flag</t>
  </si>
  <si>
    <t xml:space="preserve">% of sales recomputed (absolute basis)</t>
  </si>
  <si>
    <t xml:space="preserve">% of transactions recomputed</t>
  </si>
  <si>
    <t xml:space="preserve">% columns check</t>
  </si>
  <si>
    <t xml:space="preserve">MC-CONSUMER REFUND 1 (DB)</t>
  </si>
  <si>
    <t xml:space="preserve">MC-CORPORATE CREDIT REFUND 3</t>
  </si>
  <si>
    <t xml:space="preserve">MC-CORPORATE CREDIT REFUND 4</t>
  </si>
  <si>
    <t xml:space="preserve">MC-CONSUMER CREDIT REFUND 5</t>
  </si>
  <si>
    <t xml:space="preserve">MC-REGULATED W FRD REFUNDS</t>
  </si>
  <si>
    <t xml:space="preserve">MC-CONSUMER CREDIT REFUND 3</t>
  </si>
  <si>
    <t xml:space="preserve">VI-CR VOUCH NGSA PURCH NON PT1</t>
  </si>
  <si>
    <t xml:space="preserve">VI-CONS NON-PASS TRANS CREDIT</t>
  </si>
  <si>
    <t xml:space="preserve">VI-CRVCHR DEBIT CARD (DB)</t>
  </si>
  <si>
    <t xml:space="preserve">VI-COMM NON-PASS TRANS CREDIT</t>
  </si>
  <si>
    <t xml:space="preserve">DSCVR CNSMR ADJ VCHR PGM 3 PP</t>
  </si>
  <si>
    <t xml:space="preserve">DSCVR CNSMR ADJ VCHR PGM 3 DB</t>
  </si>
  <si>
    <t xml:space="preserve">DSCVR CNSMR ADJ VCHR PGM 3 PR</t>
  </si>
  <si>
    <t xml:space="preserve">DSCVR CNSMR ADJ VCHR PGM 3 CP</t>
  </si>
  <si>
    <t xml:space="preserve">AMEX PASS-THRU</t>
  </si>
  <si>
    <t xml:space="preserve">Sales (statement total)</t>
  </si>
  <si>
    <t xml:space="preserve">Transactions (statement)</t>
  </si>
  <si>
    <t xml:space="preserve">Charges (statement)</t>
  </si>
  <si>
    <t xml:space="preserve">Sales (computed)</t>
  </si>
  <si>
    <t xml:space="preserve">Transactions (computed)</t>
  </si>
  <si>
    <t xml:space="preserve">Charges (computed)</t>
  </si>
  <si>
    <t xml:space="preserve">Diff sales</t>
  </si>
  <si>
    <t xml:space="preserve">Diff transactions</t>
  </si>
  <si>
    <t xml:space="preserve">Diff charges</t>
  </si>
  <si>
    <t xml:space="preserve">Grand total</t>
  </si>
  <si>
    <t xml:space="preserve">Fees funded here belong to prior statements, so the Fees column differs from the Month End Charge (see Checks).</t>
  </si>
  <si>
    <t xml:space="preserve">Date Submitted</t>
  </si>
  <si>
    <t xml:space="preserve">Date Funded</t>
  </si>
  <si>
    <t xml:space="preserve">Amount Funded</t>
  </si>
</sst>
</file>

<file path=xl/styles.xml><?xml version="1.0" encoding="utf-8"?>
<styleSheet xmlns="http://schemas.openxmlformats.org/spreadsheetml/2006/main">
  <numFmts count="11">
    <numFmt numFmtId="164" formatCode="General"/>
    <numFmt numFmtId="165" formatCode="mm/dd/yyyy"/>
    <numFmt numFmtId="166" formatCode="#,##0"/>
    <numFmt numFmtId="167" formatCode="\$#,##0.00;&quot;-$&quot;#,##0.00;\$0.00"/>
    <numFmt numFmtId="168" formatCode="0.00%"/>
    <numFmt numFmtId="169" formatCode="mmm\ yy"/>
    <numFmt numFmtId="170" formatCode="0.00"/>
    <numFmt numFmtId="171" formatCode="0.0000"/>
    <numFmt numFmtId="172" formatCode="#,##0.00"/>
    <numFmt numFmtId="173" formatCode="0.000000"/>
    <numFmt numFmtId="174" formatCode="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
      <i val="true"/>
      <sz val="10"/>
      <color rgb="FF59595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6" fontId="6" fillId="0" borderId="0" xfId="0" applyFont="true" applyBorder="false" applyAlignment="true" applyProtection="false">
      <alignment horizontal="right"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68" fontId="6" fillId="0"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7" fontId="5" fillId="3"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6" fontId="5" fillId="3"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2.xml.rels><?xml version="1.0" encoding="UTF-8"?>
<Relationships xmlns="http://schemas.openxmlformats.org/package/2006/relationships"><Relationship Id="rId1" Type="http://schemas.openxmlformats.org/officeDocument/2006/relationships/drawing" Target="../drawings/drawing1.xml"/>
</Relationships>
</file>

<file path=xl/worksheets/_rels/sheet1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7.35" hidden="false" customHeight="false" outlineLevel="0" collapsed="false">
      <c r="A1" s="1" t="s">
        <v>0</v>
      </c>
    </row>
    <row r="3" customFormat="false" ht="23.85" hidden="false" customHeight="false" outlineLevel="0" collapsed="false">
      <c r="A3" s="2" t="s">
        <v>1</v>
      </c>
      <c r="B3" s="3" t="s">
        <v>2</v>
      </c>
    </row>
    <row r="4" customFormat="false" ht="35.05" hidden="false" customHeight="false" outlineLevel="0" collapsed="false">
      <c r="A4" s="2" t="s">
        <v>3</v>
      </c>
      <c r="B4" s="3" t="s">
        <v>4</v>
      </c>
    </row>
    <row r="5" customFormat="false" ht="23.85" hidden="false" customHeight="false" outlineLevel="0" collapsed="false">
      <c r="A5" s="2" t="s">
        <v>5</v>
      </c>
      <c r="B5" s="3" t="s">
        <v>6</v>
      </c>
    </row>
    <row r="6" customFormat="false" ht="23.85" hidden="false" customHeight="false" outlineLevel="0" collapsed="false">
      <c r="A6" s="2" t="s">
        <v>7</v>
      </c>
      <c r="B6" s="3" t="s">
        <v>8</v>
      </c>
    </row>
    <row r="7" customFormat="false" ht="15" hidden="false" customHeight="false" outlineLevel="0" collapsed="false">
      <c r="A7" s="2" t="s">
        <v>9</v>
      </c>
      <c r="B7" s="3" t="s">
        <v>10</v>
      </c>
    </row>
    <row r="8" customFormat="false" ht="23.85" hidden="false" customHeight="false" outlineLevel="0" collapsed="false">
      <c r="A8" s="2" t="s">
        <v>11</v>
      </c>
      <c r="B8" s="3" t="s">
        <v>12</v>
      </c>
    </row>
    <row r="9" customFormat="false" ht="15" hidden="false" customHeight="false" outlineLevel="0" collapsed="false">
      <c r="A9" s="4"/>
      <c r="B9" s="3"/>
    </row>
    <row r="10" customFormat="false" ht="15" hidden="false" customHeight="false" outlineLevel="0" collapsed="false">
      <c r="A10" s="2" t="s">
        <v>13</v>
      </c>
      <c r="B10" s="5" t="s">
        <v>14</v>
      </c>
    </row>
    <row r="11" customFormat="false" ht="15" hidden="false" customHeight="false" outlineLevel="0" collapsed="false">
      <c r="A11" s="2" t="s">
        <v>15</v>
      </c>
      <c r="B11" s="3" t="s">
        <v>16</v>
      </c>
    </row>
    <row r="12">
      <c r="A12" s="2" t="inlineStr">
        <is>
          <t>Cost Summary</t>
        </is>
      </c>
      <c r="B12" s="3" t="inlineStr">
        <is>
          <t xml:space="preserve">Effective rate (total and excluding AMEX), pass-through vs processor fees, effective rate by card brand and the 10 largest fee lines, all as live formulas.</t>
        </is>
      </c>
    </row>
    <row r="13" customFormat="false" ht="15" hidden="false" customHeight="false" outlineLevel="0" collapsed="false">
      <c r="A13" s="2" t="s">
        <v>17</v>
      </c>
      <c r="B13" s="3" t="s">
        <v>18</v>
      </c>
    </row>
    <row r="14" customFormat="false" ht="15" hidden="false" customHeight="false" outlineLevel="0" collapsed="false">
      <c r="A14" s="2" t="s">
        <v>19</v>
      </c>
      <c r="B14" s="3" t="s">
        <v>20</v>
      </c>
    </row>
    <row r="15" customFormat="false" ht="15" hidden="false" customHeight="false" outlineLevel="0" collapsed="false">
      <c r="A15" s="2" t="s">
        <v>21</v>
      </c>
      <c r="B15" s="3" t="s">
        <v>22</v>
      </c>
    </row>
    <row r="16" customFormat="false" ht="15" hidden="false" customHeight="false" outlineLevel="0" collapsed="false">
      <c r="A16" s="2" t="s">
        <v>23</v>
      </c>
      <c r="B16" s="3" t="s">
        <v>24</v>
      </c>
    </row>
    <row r="17" customFormat="false" ht="15" hidden="false" customHeight="false" outlineLevel="0" collapsed="false">
      <c r="A17" s="2" t="s">
        <v>25</v>
      </c>
      <c r="B17" s="3" t="s">
        <v>26</v>
      </c>
    </row>
    <row r="18" customFormat="false" ht="15" hidden="false" customHeight="false" outlineLevel="0" collapsed="false">
      <c r="A18" s="2" t="s">
        <v>27</v>
      </c>
      <c r="B18" s="3" t="s">
        <v>28</v>
      </c>
    </row>
    <row r="19" customFormat="false" ht="15" hidden="false" customHeight="false" outlineLevel="0" collapsed="false">
      <c r="A19" s="2" t="s">
        <v>29</v>
      </c>
      <c r="B19" s="3" t="s">
        <v>30</v>
      </c>
    </row>
    <row r="20" customFormat="false" ht="15" hidden="false" customHeight="false" outlineLevel="0" collapsed="false">
      <c r="A20" s="2" t="s">
        <v>31</v>
      </c>
      <c r="B20" s="3" t="s">
        <v>32</v>
      </c>
    </row>
    <row r="21" customFormat="false" ht="15" hidden="false" customHeight="false" outlineLevel="0" collapsed="false">
      <c r="A21" s="2" t="s">
        <v>33</v>
      </c>
      <c r="B21" s="3" t="s">
        <v>34</v>
      </c>
    </row>
    <row r="22" customFormat="false" ht="15" hidden="false" customHeight="false" outlineLevel="0" collapsed="false">
      <c r="A22" s="2" t="s">
        <v>35</v>
      </c>
      <c r="B22" s="3" t="s">
        <v>36</v>
      </c>
    </row>
    <row r="23" customFormat="false" ht="15" hidden="false" customHeight="false" outlineLevel="0" collapsed="false">
      <c r="A23" s="2" t="s">
        <v>37</v>
      </c>
      <c r="B23" s="3" t="s">
        <v>38</v>
      </c>
    </row>
    <row r="24" customFormat="false" ht="15" hidden="false" customHeight="false" outlineLevel="0" collapsed="false">
      <c r="A24" s="2" t="s">
        <v>39</v>
      </c>
      <c r="B24" s="3"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70"/>
  </cols>
  <sheetData>
    <row r="1" customFormat="false" ht="17.35" hidden="false" customHeight="false" outlineLevel="0" collapsed="false">
      <c r="A1" s="1" t="s">
        <v>41</v>
      </c>
    </row>
    <row r="3" customFormat="false" ht="15" hidden="false" customHeight="false" outlineLevel="0" collapsed="false">
      <c r="A3" s="6" t="s">
        <v>42</v>
      </c>
      <c r="B3" s="6"/>
      <c r="C3" s="6"/>
    </row>
    <row r="4" customFormat="false" ht="15" hidden="false" customHeight="false" outlineLevel="0" collapsed="false">
      <c r="A4" s="2" t="s">
        <v>43</v>
      </c>
      <c r="B4" s="7" t="s">
        <v>44</v>
      </c>
      <c r="C4" s="8" t="s">
        <v>45</v>
      </c>
    </row>
    <row r="5" customFormat="false" ht="15" hidden="false" customHeight="false" outlineLevel="0" collapsed="false">
      <c r="A5" s="2" t="s">
        <v>46</v>
      </c>
      <c r="B5" s="7" t="s">
        <v>47</v>
      </c>
      <c r="C5" s="8" t="s">
        <v>48</v>
      </c>
    </row>
    <row r="6" customFormat="false" ht="15" hidden="false" customHeight="false" outlineLevel="0" collapsed="false">
      <c r="A6" s="2" t="s">
        <v>49</v>
      </c>
      <c r="B6" s="7" t="s">
        <v>50</v>
      </c>
      <c r="C6" s="8" t="s">
        <v>51</v>
      </c>
    </row>
    <row r="7" customFormat="false" ht="15" hidden="false" customHeight="false" outlineLevel="0" collapsed="false">
      <c r="A7" s="2" t="s">
        <v>52</v>
      </c>
      <c r="B7" s="9" t="n">
        <v>46204</v>
      </c>
    </row>
    <row r="8" customFormat="false" ht="15" hidden="false" customHeight="false" outlineLevel="0" collapsed="false">
      <c r="A8" s="2" t="s">
        <v>53</v>
      </c>
      <c r="B8" s="9" t="n">
        <v>46234</v>
      </c>
    </row>
    <row r="9" customFormat="false" ht="15" hidden="false" customHeight="false" outlineLevel="0" collapsed="false">
      <c r="A9" s="2" t="s">
        <v>54</v>
      </c>
      <c r="B9" s="10" t="n">
        <v>23</v>
      </c>
      <c r="C9" s="8" t="s">
        <v>55</v>
      </c>
    </row>
    <row r="10" customFormat="false" ht="15" hidden="false" customHeight="false" outlineLevel="0" collapsed="false">
      <c r="A10" s="2" t="s">
        <v>56</v>
      </c>
      <c r="B10" s="7" t="s">
        <v>57</v>
      </c>
      <c r="C10" s="8" t="s">
        <v>58</v>
      </c>
    </row>
    <row r="11" customFormat="false" ht="15" hidden="false" customHeight="false" outlineLevel="0" collapsed="false">
      <c r="A11" s="2" t="s">
        <v>59</v>
      </c>
      <c r="B11" s="7" t="s">
        <v>60</v>
      </c>
      <c r="C11" s="8" t="s">
        <v>61</v>
      </c>
    </row>
    <row r="12" customFormat="false" ht="15" hidden="false" customHeight="false" outlineLevel="0" collapsed="false">
      <c r="A12" s="2" t="s">
        <v>62</v>
      </c>
      <c r="B12" s="7" t="s">
        <v>63</v>
      </c>
      <c r="C12" s="8" t="s">
        <v>64</v>
      </c>
    </row>
    <row r="13" customFormat="false" ht="15" hidden="false" customHeight="false" outlineLevel="0" collapsed="false">
      <c r="A13" s="2" t="s">
        <v>65</v>
      </c>
      <c r="B13" s="7" t="s">
        <v>66</v>
      </c>
    </row>
    <row r="15" customFormat="false" ht="15" hidden="false" customHeight="false" outlineLevel="0" collapsed="false">
      <c r="A15" s="6" t="s">
        <v>67</v>
      </c>
      <c r="B15" s="6"/>
      <c r="C15" s="6"/>
    </row>
    <row r="16" customFormat="false" ht="15" hidden="false" customHeight="false" outlineLevel="0" collapsed="false">
      <c r="A16" s="2" t="s">
        <v>68</v>
      </c>
      <c r="B16" s="11" t="n">
        <v>8980209.18</v>
      </c>
    </row>
    <row r="17" customFormat="false" ht="15" hidden="false" customHeight="false" outlineLevel="0" collapsed="false">
      <c r="A17" s="2" t="s">
        <v>69</v>
      </c>
      <c r="B17" s="11" t="n">
        <v>-1678631.31</v>
      </c>
    </row>
    <row r="18" customFormat="false" ht="15" hidden="false" customHeight="false" outlineLevel="0" collapsed="false">
      <c r="A18" s="2" t="s">
        <v>27</v>
      </c>
      <c r="B18" s="11" t="n">
        <v>-1213.82</v>
      </c>
    </row>
    <row r="19" customFormat="false" ht="15" hidden="false" customHeight="false" outlineLevel="0" collapsed="false">
      <c r="A19" s="2" t="s">
        <v>70</v>
      </c>
      <c r="B19" s="11" t="n">
        <v>0</v>
      </c>
    </row>
    <row r="20" customFormat="false" ht="15" hidden="false" customHeight="false" outlineLevel="0" collapsed="false">
      <c r="A20" s="2" t="s">
        <v>71</v>
      </c>
      <c r="B20" s="11" t="n">
        <v>-170258.04</v>
      </c>
    </row>
    <row r="21" customFormat="false" ht="15" hidden="false" customHeight="false" outlineLevel="0" collapsed="false">
      <c r="A21" s="2" t="s">
        <v>72</v>
      </c>
      <c r="B21" s="11" t="n">
        <v>7130106.01</v>
      </c>
      <c r="C21" s="8" t="s">
        <v>73</v>
      </c>
    </row>
    <row r="22" customFormat="false" ht="15" hidden="false" customHeight="false" outlineLevel="0" collapsed="false">
      <c r="A22" s="2" t="s">
        <v>74</v>
      </c>
      <c r="B22" s="11" t="n">
        <f aca="false">SUM(B16:B20)</f>
        <v>7130106.01</v>
      </c>
    </row>
    <row r="23" customFormat="false" ht="15" hidden="false" customHeight="false" outlineLevel="0" collapsed="false">
      <c r="A23" s="2" t="s">
        <v>75</v>
      </c>
      <c r="B23" s="11" t="n">
        <f aca="false">B22-B21</f>
        <v>0</v>
      </c>
    </row>
    <row r="25" customFormat="false" ht="15" hidden="false" customHeight="false" outlineLevel="0" collapsed="false">
      <c r="A25" s="2" t="s">
        <v>76</v>
      </c>
      <c r="B25" s="10" t="n">
        <v>3481</v>
      </c>
    </row>
    <row r="26" customFormat="false" ht="15" hidden="false" customHeight="false" outlineLevel="0" collapsed="false">
      <c r="A26" s="2" t="s">
        <v>77</v>
      </c>
      <c r="B26" s="10" t="n">
        <v>1548</v>
      </c>
    </row>
    <row r="27" customFormat="false" ht="15" hidden="false" customHeight="false" outlineLevel="0" collapsed="false">
      <c r="A27" s="2" t="s">
        <v>78</v>
      </c>
      <c r="B27" s="11" t="n">
        <v>808.08</v>
      </c>
    </row>
    <row r="28" customFormat="false" ht="15" hidden="false" customHeight="false" outlineLevel="0" collapsed="false">
      <c r="A28" s="2" t="s">
        <v>79</v>
      </c>
      <c r="B28" s="11" t="n">
        <f aca="false">ROUND(B16/CardType!G10,2)</f>
        <v>808.08</v>
      </c>
      <c r="C28" s="8" t="s">
        <v>80</v>
      </c>
    </row>
    <row r="29" customFormat="false" ht="15" hidden="false" customHeight="false" outlineLevel="0" collapsed="false">
      <c r="A29" s="2" t="s">
        <v>81</v>
      </c>
      <c r="B29" s="12" t="n">
        <v>1.7827</v>
      </c>
      <c r="C29" s="8" t="s">
        <v>82</v>
      </c>
    </row>
    <row r="30" customFormat="false" ht="15" hidden="false" customHeight="false" outlineLevel="0" collapsed="false">
      <c r="A30" s="2" t="s">
        <v>83</v>
      </c>
      <c r="B30" s="12" t="n">
        <v>0.0182</v>
      </c>
      <c r="C30" s="8"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0"/>
    <col collapsed="false" customWidth="true" hidden="false" outlineLevel="0" max="3" min="3" style="0" width="24"/>
  </cols>
  <sheetData>
    <row r="1" customFormat="false" ht="17.35" hidden="false" customHeight="false" outlineLevel="0" collapsed="false">
      <c r="A1" s="1" t="s">
        <v>85</v>
      </c>
    </row>
    <row r="2" customFormat="false" ht="15" hidden="false" customHeight="false" outlineLevel="0" collapsed="false">
      <c r="A2" s="8" t="s">
        <v>86</v>
      </c>
    </row>
    <row r="3" customFormat="false" ht="30" hidden="false" customHeight="true" outlineLevel="0" collapsed="false">
      <c r="A3" s="13" t="s">
        <v>87</v>
      </c>
      <c r="B3" s="13" t="s">
        <v>68</v>
      </c>
      <c r="C3" s="13" t="s">
        <v>88</v>
      </c>
    </row>
    <row r="4" customFormat="false" ht="15" hidden="false" customHeight="false" outlineLevel="0" collapsed="false">
      <c r="A4" s="14" t="n">
        <v>45839</v>
      </c>
      <c r="B4" s="15" t="n">
        <v>3227208.93</v>
      </c>
    </row>
    <row r="5" customFormat="false" ht="15" hidden="false" customHeight="false" outlineLevel="0" collapsed="false">
      <c r="A5" s="14" t="n">
        <v>45870</v>
      </c>
      <c r="B5" s="15" t="n">
        <v>3782196.92</v>
      </c>
      <c r="C5" s="16" t="n">
        <f aca="false">B5/B4-1</f>
        <v>0.171971509139323</v>
      </c>
    </row>
    <row r="6" customFormat="false" ht="15" hidden="false" customHeight="false" outlineLevel="0" collapsed="false">
      <c r="A6" s="14" t="n">
        <v>45901</v>
      </c>
      <c r="B6" s="15" t="n">
        <v>4833175.63</v>
      </c>
      <c r="C6" s="16" t="n">
        <f aca="false">B6/B5-1</f>
        <v>0.277875195879542</v>
      </c>
    </row>
    <row r="7" customFormat="false" ht="15" hidden="false" customHeight="false" outlineLevel="0" collapsed="false">
      <c r="A7" s="14" t="n">
        <v>45931</v>
      </c>
      <c r="B7" s="15" t="n">
        <v>6227957.86</v>
      </c>
      <c r="C7" s="16" t="n">
        <f aca="false">B7/B6-1</f>
        <v>0.288585049825719</v>
      </c>
    </row>
    <row r="8" customFormat="false" ht="15" hidden="false" customHeight="false" outlineLevel="0" collapsed="false">
      <c r="A8" s="14" t="n">
        <v>45962</v>
      </c>
      <c r="B8" s="15" t="n">
        <v>5402522.72</v>
      </c>
      <c r="C8" s="16" t="n">
        <f aca="false">B8/B7-1</f>
        <v>-0.132537046421184</v>
      </c>
    </row>
    <row r="9" customFormat="false" ht="15" hidden="false" customHeight="false" outlineLevel="0" collapsed="false">
      <c r="A9" s="14" t="n">
        <v>45992</v>
      </c>
      <c r="B9" s="15" t="n">
        <v>5629409.64</v>
      </c>
      <c r="C9" s="16" t="n">
        <f aca="false">B9/B8-1</f>
        <v>0.0419964767866816</v>
      </c>
    </row>
    <row r="10" customFormat="false" ht="15" hidden="false" customHeight="false" outlineLevel="0" collapsed="false">
      <c r="A10" s="14" t="n">
        <v>46023</v>
      </c>
      <c r="B10" s="15" t="n">
        <v>4872899.12</v>
      </c>
      <c r="C10" s="16" t="n">
        <f aca="false">B10/B9-1</f>
        <v>-0.13438540955069</v>
      </c>
    </row>
    <row r="11" customFormat="false" ht="15" hidden="false" customHeight="false" outlineLevel="0" collapsed="false">
      <c r="A11" s="14" t="n">
        <v>46054</v>
      </c>
      <c r="B11" s="15" t="n">
        <v>4255217.48</v>
      </c>
      <c r="C11" s="16" t="n">
        <f aca="false">B11/B10-1</f>
        <v>-0.126758552719638</v>
      </c>
    </row>
    <row r="12" customFormat="false" ht="15" hidden="false" customHeight="false" outlineLevel="0" collapsed="false">
      <c r="A12" s="14" t="n">
        <v>46082</v>
      </c>
      <c r="B12" s="15" t="n">
        <v>4135241.71</v>
      </c>
      <c r="C12" s="16" t="n">
        <f aca="false">B12/B11-1</f>
        <v>-0.0281949795900914</v>
      </c>
    </row>
    <row r="13" customFormat="false" ht="15" hidden="false" customHeight="false" outlineLevel="0" collapsed="false">
      <c r="A13" s="14" t="n">
        <v>46113</v>
      </c>
      <c r="B13" s="15" t="n">
        <v>5744885.94</v>
      </c>
      <c r="C13" s="16" t="n">
        <f aca="false">B13/B12-1</f>
        <v>0.389250337194921</v>
      </c>
    </row>
    <row r="14" customFormat="false" ht="15" hidden="false" customHeight="false" outlineLevel="0" collapsed="false">
      <c r="A14" s="14" t="n">
        <v>46143</v>
      </c>
      <c r="B14" s="15" t="n">
        <v>7293127.31</v>
      </c>
      <c r="C14" s="16" t="n">
        <f aca="false">B14/B13-1</f>
        <v>0.269499061629759</v>
      </c>
    </row>
    <row r="15" customFormat="false" ht="15" hidden="false" customHeight="false" outlineLevel="0" collapsed="false">
      <c r="A15" s="14" t="n">
        <v>46174</v>
      </c>
      <c r="B15" s="15" t="n">
        <v>8819730.61</v>
      </c>
      <c r="C15" s="16" t="n">
        <f aca="false">B15/B14-1</f>
        <v>0.20932080781132</v>
      </c>
    </row>
    <row r="16" customFormat="false" ht="15" hidden="false" customHeight="false" outlineLevel="0" collapsed="false">
      <c r="A16" s="14" t="n">
        <v>46204</v>
      </c>
      <c r="B16" s="15" t="n">
        <v>8980209.18</v>
      </c>
      <c r="C16" s="16" t="n">
        <f aca="false">B16/B15-1</f>
        <v>0.0181954049501292</v>
      </c>
    </row>
    <row r="18" customFormat="false" ht="15" hidden="false" customHeight="false" outlineLevel="0" collapsed="false">
      <c r="A18" s="2" t="s">
        <v>89</v>
      </c>
      <c r="B18" s="17" t="n">
        <f aca="false">B16/B4-1</f>
        <v>1.78265503560069</v>
      </c>
    </row>
    <row r="19" customFormat="false" ht="15" hidden="false" customHeight="false" outlineLevel="0" collapsed="false">
      <c r="A19" s="4" t="s">
        <v>90</v>
      </c>
      <c r="B19" s="16" t="n">
        <f aca="false">Summary!B29</f>
        <v>1.7827</v>
      </c>
    </row>
    <row r="20" customFormat="false" ht="15" hidden="false" customHeight="false" outlineLevel="0" collapsed="false">
      <c r="A20" s="2" t="s">
        <v>91</v>
      </c>
      <c r="B20" s="17" t="n">
        <f aca="false">B16/B15-1</f>
        <v>0.0181954049501292</v>
      </c>
    </row>
    <row r="21" customFormat="false" ht="15" hidden="false" customHeight="false" outlineLevel="0" collapsed="false">
      <c r="A21" s="4" t="s">
        <v>90</v>
      </c>
      <c r="B21" s="16" t="n">
        <f aca="false">Summary!B30</f>
        <v>0.0182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84"/>
    <col collapsed="false" customWidth="true" hidden="false" outlineLevel="0" max="5" min="4" style="0" width="20"/>
    <col collapsed="false" customWidth="true" hidden="false" outlineLevel="0" max="6" min="6" style="0" width="16"/>
    <col collapsed="false" customWidth="true" hidden="false" outlineLevel="0" max="7" min="7" style="0" width="12"/>
  </cols>
  <sheetData>
    <row r="1" customFormat="false" ht="17.35" hidden="false" customHeight="false" outlineLevel="0" collapsed="false">
      <c r="A1" s="1" t="s">
        <v>92</v>
      </c>
    </row>
    <row r="2" customFormat="false" ht="15" hidden="false" customHeight="false" outlineLevel="0" collapsed="false">
      <c r="A2" s="8" t="s">
        <v>93</v>
      </c>
    </row>
    <row r="3" customFormat="false" ht="30" hidden="false" customHeight="true" outlineLevel="0" collapsed="false">
      <c r="A3" s="13" t="s">
        <v>94</v>
      </c>
      <c r="B3" s="13" t="s">
        <v>95</v>
      </c>
      <c r="C3" s="13" t="s">
        <v>96</v>
      </c>
      <c r="D3" s="13" t="s">
        <v>97</v>
      </c>
      <c r="E3" s="13" t="s">
        <v>98</v>
      </c>
      <c r="F3" s="13" t="s">
        <v>75</v>
      </c>
      <c r="G3" s="13" t="s">
        <v>5</v>
      </c>
    </row>
    <row r="4" customFormat="false" ht="15" hidden="false" customHeight="false" outlineLevel="0" collapsed="false">
      <c r="A4" s="18" t="n">
        <v>1</v>
      </c>
      <c r="B4" s="4" t="s">
        <v>15</v>
      </c>
      <c r="C4" s="3" t="s">
        <v>99</v>
      </c>
      <c r="D4" s="15" t="n">
        <f aca="false">Summary!B21</f>
        <v>7130106.01</v>
      </c>
      <c r="E4" s="15" t="n">
        <f aca="false">Summary!B22</f>
        <v>7130106.01</v>
      </c>
      <c r="F4" s="15" t="n">
        <f aca="false">ROUND(E4-D4,2)</f>
        <v>0</v>
      </c>
      <c r="G4" s="2" t="str">
        <f aca="false">IF(ABS(F4)&lt;0.005,"PASS","REVIEW")</f>
        <v>PASS</v>
      </c>
    </row>
    <row r="5" customFormat="false" ht="15" hidden="false" customHeight="false" outlineLevel="0" collapsed="false">
      <c r="A5" s="18" t="n">
        <v>2</v>
      </c>
      <c r="B5" s="4" t="s">
        <v>15</v>
      </c>
      <c r="C5" s="3" t="s">
        <v>100</v>
      </c>
      <c r="D5" s="15" t="n">
        <f aca="false">Summary!B27</f>
        <v>808.08</v>
      </c>
      <c r="E5" s="15" t="n">
        <f aca="false">Summary!B28</f>
        <v>808.08</v>
      </c>
      <c r="F5" s="15" t="n">
        <f aca="false">ROUND(E5-D5,2)</f>
        <v>0</v>
      </c>
      <c r="G5" s="2" t="str">
        <f aca="false">IF(ABS(F5)&lt;0.005,"PASS","REVIEW")</f>
        <v>PASS</v>
      </c>
    </row>
    <row r="6" customFormat="false" ht="15" hidden="false" customHeight="false" outlineLevel="0" collapsed="false">
      <c r="A6" s="18" t="n">
        <v>3</v>
      </c>
      <c r="B6" s="4" t="s">
        <v>15</v>
      </c>
      <c r="C6" s="3" t="s">
        <v>101</v>
      </c>
      <c r="D6" s="18" t="n">
        <f aca="false">Summary!B9</f>
        <v>23</v>
      </c>
      <c r="E6" s="18" t="n">
        <f aca="false">COUNTA(Locations!A4:A26)</f>
        <v>23</v>
      </c>
      <c r="F6" s="18" t="n">
        <f aca="false">ROUND(E6-D6,2)</f>
        <v>0</v>
      </c>
      <c r="G6" s="2" t="str">
        <f aca="false">IF(ABS(F6)&lt;0.005,"PASS","REVIEW")</f>
        <v>PASS</v>
      </c>
    </row>
    <row r="7" customFormat="false" ht="15" hidden="false" customHeight="false" outlineLevel="0" collapsed="false">
      <c r="A7" s="18" t="n">
        <v>4</v>
      </c>
      <c r="B7" s="4" t="s">
        <v>17</v>
      </c>
      <c r="C7" s="3" t="s">
        <v>102</v>
      </c>
      <c r="D7" s="15" t="n">
        <f aca="false">Summary!B16</f>
        <v>8980209.18</v>
      </c>
      <c r="E7" s="15" t="n">
        <f aca="false">Trend!B16</f>
        <v>8980209.18</v>
      </c>
      <c r="F7" s="15" t="n">
        <f aca="false">ROUND(E7-D7,2)</f>
        <v>0</v>
      </c>
      <c r="G7" s="2" t="str">
        <f aca="false">IF(ABS(F7)&lt;0.005,"PASS","REVIEW")</f>
        <v>PASS</v>
      </c>
    </row>
    <row r="8" customFormat="false" ht="15" hidden="false" customHeight="false" outlineLevel="0" collapsed="false">
      <c r="A8" s="18" t="n">
        <v>5</v>
      </c>
      <c r="B8" s="4" t="s">
        <v>17</v>
      </c>
      <c r="C8" s="3" t="s">
        <v>103</v>
      </c>
      <c r="D8" s="19" t="n">
        <f aca="false">Summary!B29*100</f>
        <v>178.27</v>
      </c>
      <c r="E8" s="19" t="n">
        <f aca="false">ROUND(Trend!B18*100,2)</f>
        <v>178.27</v>
      </c>
      <c r="F8" s="19" t="n">
        <f aca="false">ROUND(E8-D8,2)</f>
        <v>0</v>
      </c>
      <c r="G8" s="2" t="str">
        <f aca="false">IF(ABS(F8)&lt;0.005,"PASS","REVIEW")</f>
        <v>PASS</v>
      </c>
    </row>
    <row r="9" customFormat="false" ht="15" hidden="false" customHeight="false" outlineLevel="0" collapsed="false">
      <c r="A9" s="18" t="n">
        <v>6</v>
      </c>
      <c r="B9" s="4" t="s">
        <v>17</v>
      </c>
      <c r="C9" s="3" t="s">
        <v>104</v>
      </c>
      <c r="D9" s="19" t="n">
        <f aca="false">Summary!B30*100</f>
        <v>1.82</v>
      </c>
      <c r="E9" s="19" t="n">
        <f aca="false">ROUND(Trend!B20*100,2)</f>
        <v>1.82</v>
      </c>
      <c r="F9" s="19" t="n">
        <f aca="false">ROUND(E9-D9,2)</f>
        <v>0</v>
      </c>
      <c r="G9" s="2" t="str">
        <f aca="false">IF(ABS(F9)&lt;0.005,"PASS","REVIEW")</f>
        <v>PASS</v>
      </c>
    </row>
    <row r="10" customFormat="false" ht="15" hidden="false" customHeight="false" outlineLevel="0" collapsed="false">
      <c r="A10" s="18" t="n">
        <v>7</v>
      </c>
      <c r="B10" s="4" t="s">
        <v>19</v>
      </c>
      <c r="C10" s="3" t="s">
        <v>105</v>
      </c>
      <c r="D10" s="15" t="n">
        <f aca="false">Daily!B36</f>
        <v>8980209.18</v>
      </c>
      <c r="E10" s="15" t="n">
        <f aca="false">Daily!B37</f>
        <v>8980209.18</v>
      </c>
      <c r="F10" s="15" t="n">
        <f aca="false">ROUND(E10-D10,2)</f>
        <v>0</v>
      </c>
      <c r="G10" s="2" t="str">
        <f aca="false">IF(ABS(F10)&lt;0.005,"PASS","REVIEW")</f>
        <v>PASS</v>
      </c>
    </row>
    <row r="11" customFormat="false" ht="15" hidden="false" customHeight="false" outlineLevel="0" collapsed="false">
      <c r="A11" s="18" t="n">
        <v>8</v>
      </c>
      <c r="B11" s="4" t="s">
        <v>19</v>
      </c>
      <c r="C11" s="3" t="s">
        <v>106</v>
      </c>
      <c r="D11" s="15" t="n">
        <f aca="false">Daily!C36</f>
        <v>-1678631.31</v>
      </c>
      <c r="E11" s="15" t="n">
        <f aca="false">Daily!C37</f>
        <v>-1678631.31</v>
      </c>
      <c r="F11" s="15" t="n">
        <f aca="false">ROUND(E11-D11,2)</f>
        <v>0</v>
      </c>
      <c r="G11" s="2" t="str">
        <f aca="false">IF(ABS(F11)&lt;0.005,"PASS","REVIEW")</f>
        <v>PASS</v>
      </c>
    </row>
    <row r="12" customFormat="false" ht="15" hidden="false" customHeight="false" outlineLevel="0" collapsed="false">
      <c r="A12" s="18" t="n">
        <v>9</v>
      </c>
      <c r="B12" s="4" t="s">
        <v>19</v>
      </c>
      <c r="C12" s="3" t="s">
        <v>107</v>
      </c>
      <c r="D12" s="15" t="n">
        <f aca="false">Daily!D36</f>
        <v>-1213.82</v>
      </c>
      <c r="E12" s="15" t="n">
        <f aca="false">Daily!D37</f>
        <v>-1213.82</v>
      </c>
      <c r="F12" s="15" t="n">
        <f aca="false">ROUND(E12-D12,2)</f>
        <v>0</v>
      </c>
      <c r="G12" s="2" t="str">
        <f aca="false">IF(ABS(F12)&lt;0.005,"PASS","REVIEW")</f>
        <v>PASS</v>
      </c>
    </row>
    <row r="13" customFormat="false" ht="15" hidden="false" customHeight="false" outlineLevel="0" collapsed="false">
      <c r="A13" s="18" t="n">
        <v>10</v>
      </c>
      <c r="B13" s="4" t="s">
        <v>19</v>
      </c>
      <c r="C13" s="3" t="s">
        <v>108</v>
      </c>
      <c r="D13" s="15" t="n">
        <f aca="false">Daily!E36</f>
        <v>0</v>
      </c>
      <c r="E13" s="15" t="n">
        <f aca="false">Daily!E37</f>
        <v>0</v>
      </c>
      <c r="F13" s="15" t="n">
        <f aca="false">ROUND(E13-D13,2)</f>
        <v>0</v>
      </c>
      <c r="G13" s="2" t="str">
        <f aca="false">IF(ABS(F13)&lt;0.005,"PASS","REVIEW")</f>
        <v>PASS</v>
      </c>
    </row>
    <row r="14" customFormat="false" ht="15" hidden="false" customHeight="false" outlineLevel="0" collapsed="false">
      <c r="A14" s="18" t="n">
        <v>11</v>
      </c>
      <c r="B14" s="4" t="s">
        <v>19</v>
      </c>
      <c r="C14" s="3" t="s">
        <v>109</v>
      </c>
      <c r="D14" s="15" t="n">
        <f aca="false">Daily!F36</f>
        <v>-170258.04</v>
      </c>
      <c r="E14" s="15" t="n">
        <f aca="false">Daily!F37</f>
        <v>-170258.04</v>
      </c>
      <c r="F14" s="15" t="n">
        <f aca="false">ROUND(E14-D14,2)</f>
        <v>0</v>
      </c>
      <c r="G14" s="2" t="str">
        <f aca="false">IF(ABS(F14)&lt;0.005,"PASS","REVIEW")</f>
        <v>PASS</v>
      </c>
    </row>
    <row r="15" customFormat="false" ht="15" hidden="false" customHeight="false" outlineLevel="0" collapsed="false">
      <c r="A15" s="18" t="n">
        <v>12</v>
      </c>
      <c r="B15" s="4" t="s">
        <v>19</v>
      </c>
      <c r="C15" s="3" t="s">
        <v>110</v>
      </c>
      <c r="D15" s="15" t="n">
        <f aca="false">Daily!G36</f>
        <v>7130106.01</v>
      </c>
      <c r="E15" s="15" t="n">
        <f aca="false">Daily!G37</f>
        <v>7130106.01</v>
      </c>
      <c r="F15" s="15" t="n">
        <f aca="false">ROUND(E15-D15,2)</f>
        <v>0</v>
      </c>
      <c r="G15" s="2" t="str">
        <f aca="false">IF(ABS(F15)&lt;0.005,"PASS","REVIEW")</f>
        <v>PASS</v>
      </c>
    </row>
    <row r="16" customFormat="false" ht="15" hidden="false" customHeight="false" outlineLevel="0" collapsed="false">
      <c r="A16" s="18" t="n">
        <v>13</v>
      </c>
      <c r="B16" s="4" t="s">
        <v>19</v>
      </c>
      <c r="C16" s="3" t="s">
        <v>111</v>
      </c>
      <c r="D16" s="15" t="n">
        <f aca="false">Summary!B16</f>
        <v>8980209.18</v>
      </c>
      <c r="E16" s="15" t="n">
        <f aca="false">Daily!B37</f>
        <v>8980209.18</v>
      </c>
      <c r="F16" s="15" t="n">
        <f aca="false">ROUND(E16-D16,2)</f>
        <v>0</v>
      </c>
      <c r="G16" s="2" t="str">
        <f aca="false">IF(ABS(F16)&lt;0.005,"PASS","REVIEW")</f>
        <v>PASS</v>
      </c>
    </row>
    <row r="17" customFormat="false" ht="15" hidden="false" customHeight="false" outlineLevel="0" collapsed="false">
      <c r="A17" s="18" t="n">
        <v>14</v>
      </c>
      <c r="B17" s="4" t="s">
        <v>19</v>
      </c>
      <c r="C17" s="3" t="s">
        <v>112</v>
      </c>
      <c r="D17" s="15" t="n">
        <f aca="false">Summary!B21</f>
        <v>7130106.01</v>
      </c>
      <c r="E17" s="15" t="n">
        <f aca="false">Daily!G37</f>
        <v>7130106.01</v>
      </c>
      <c r="F17" s="15" t="n">
        <f aca="false">ROUND(E17-D17,2)</f>
        <v>0</v>
      </c>
      <c r="G17" s="2" t="str">
        <f aca="false">IF(ABS(F17)&lt;0.005,"PASS","REVIEW")</f>
        <v>PASS</v>
      </c>
    </row>
    <row r="18" customFormat="false" ht="23.85" hidden="false" customHeight="false" outlineLevel="0" collapsed="false">
      <c r="A18" s="18" t="n">
        <v>15</v>
      </c>
      <c r="B18" s="4" t="s">
        <v>19</v>
      </c>
      <c r="C18" s="3" t="s">
        <v>113</v>
      </c>
      <c r="D18" s="15" t="n">
        <v>0</v>
      </c>
      <c r="E18" s="15" t="n">
        <f aca="false">SUMPRODUCT(ABS(Daily!H4:H35))</f>
        <v>0</v>
      </c>
      <c r="F18" s="15" t="n">
        <f aca="false">ROUND(E18-D18,2)</f>
        <v>0</v>
      </c>
      <c r="G18" s="2" t="str">
        <f aca="false">IF(ABS(F18)&lt;0.005,"PASS","REVIEW")</f>
        <v>PASS</v>
      </c>
    </row>
    <row r="19" customFormat="false" ht="23.85" hidden="false" customHeight="false" outlineLevel="0" collapsed="false">
      <c r="A19" s="18" t="n">
        <v>16</v>
      </c>
      <c r="B19" s="4" t="s">
        <v>19</v>
      </c>
      <c r="C19" s="3" t="s">
        <v>114</v>
      </c>
      <c r="D19" s="15" t="n">
        <v>0</v>
      </c>
      <c r="E19" s="15" t="n">
        <f aca="false">SUMPRODUCT(ABS(Daily!I4:I34))</f>
        <v>0</v>
      </c>
      <c r="F19" s="15" t="n">
        <f aca="false">ROUND(E19-D19,2)</f>
        <v>0</v>
      </c>
      <c r="G19" s="2" t="str">
        <f aca="false">IF(ABS(F19)&lt;0.005,"PASS","REVIEW")</f>
        <v>PASS</v>
      </c>
    </row>
    <row r="20" customFormat="false" ht="15" hidden="false" customHeight="false" outlineLevel="0" collapsed="false">
      <c r="A20" s="18" t="n">
        <v>17</v>
      </c>
      <c r="B20" s="4" t="s">
        <v>19</v>
      </c>
      <c r="C20" s="3" t="s">
        <v>115</v>
      </c>
      <c r="D20" s="15" t="n">
        <f aca="false">Summary!B20</f>
        <v>-170258.04</v>
      </c>
      <c r="E20" s="15" t="n">
        <f aca="false">Daily!F35</f>
        <v>-170258.04</v>
      </c>
      <c r="F20" s="15" t="n">
        <f aca="false">ROUND(E20-D20,2)</f>
        <v>0</v>
      </c>
      <c r="G20" s="2" t="str">
        <f aca="false">IF(ABS(F20)&lt;0.005,"PASS","REVIEW")</f>
        <v>PASS</v>
      </c>
    </row>
    <row r="21" customFormat="false" ht="15" hidden="false" customHeight="false" outlineLevel="0" collapsed="false">
      <c r="A21" s="18" t="n">
        <v>18</v>
      </c>
      <c r="B21" s="4" t="s">
        <v>23</v>
      </c>
      <c r="C21" s="3" t="s">
        <v>116</v>
      </c>
      <c r="D21" s="15" t="n">
        <f aca="false">Locations!B27</f>
        <v>8980209.18</v>
      </c>
      <c r="E21" s="15" t="n">
        <f aca="false">Locations!B28</f>
        <v>8980209.18</v>
      </c>
      <c r="F21" s="15" t="n">
        <f aca="false">ROUND(E21-D21,2)</f>
        <v>0</v>
      </c>
      <c r="G21" s="2" t="str">
        <f aca="false">IF(ABS(F21)&lt;0.005,"PASS","REVIEW")</f>
        <v>PASS</v>
      </c>
    </row>
    <row r="22" customFormat="false" ht="15" hidden="false" customHeight="false" outlineLevel="0" collapsed="false">
      <c r="A22" s="18" t="n">
        <v>19</v>
      </c>
      <c r="B22" s="4" t="s">
        <v>23</v>
      </c>
      <c r="C22" s="3" t="s">
        <v>117</v>
      </c>
      <c r="D22" s="15" t="n">
        <f aca="false">Locations!C27</f>
        <v>-1678631.31</v>
      </c>
      <c r="E22" s="15" t="n">
        <f aca="false">Locations!C28</f>
        <v>-1678631.31</v>
      </c>
      <c r="F22" s="15" t="n">
        <f aca="false">ROUND(E22-D22,2)</f>
        <v>0</v>
      </c>
      <c r="G22" s="2" t="str">
        <f aca="false">IF(ABS(F22)&lt;0.005,"PASS","REVIEW")</f>
        <v>PASS</v>
      </c>
    </row>
    <row r="23" customFormat="false" ht="15" hidden="false" customHeight="false" outlineLevel="0" collapsed="false">
      <c r="A23" s="18" t="n">
        <v>20</v>
      </c>
      <c r="B23" s="4" t="s">
        <v>23</v>
      </c>
      <c r="C23" s="3" t="s">
        <v>118</v>
      </c>
      <c r="D23" s="15" t="n">
        <f aca="false">Locations!D27</f>
        <v>-1213.82</v>
      </c>
      <c r="E23" s="15" t="n">
        <f aca="false">Locations!D28</f>
        <v>-1213.82</v>
      </c>
      <c r="F23" s="15" t="n">
        <f aca="false">ROUND(E23-D23,2)</f>
        <v>0</v>
      </c>
      <c r="G23" s="2" t="str">
        <f aca="false">IF(ABS(F23)&lt;0.005,"PASS","REVIEW")</f>
        <v>PASS</v>
      </c>
    </row>
    <row r="24" customFormat="false" ht="15" hidden="false" customHeight="false" outlineLevel="0" collapsed="false">
      <c r="A24" s="18" t="n">
        <v>21</v>
      </c>
      <c r="B24" s="4" t="s">
        <v>23</v>
      </c>
      <c r="C24" s="3" t="s">
        <v>119</v>
      </c>
      <c r="D24" s="15" t="n">
        <f aca="false">Locations!E27</f>
        <v>0</v>
      </c>
      <c r="E24" s="15" t="n">
        <f aca="false">Locations!E28</f>
        <v>0</v>
      </c>
      <c r="F24" s="15" t="n">
        <f aca="false">ROUND(E24-D24,2)</f>
        <v>0</v>
      </c>
      <c r="G24" s="2" t="str">
        <f aca="false">IF(ABS(F24)&lt;0.005,"PASS","REVIEW")</f>
        <v>PASS</v>
      </c>
    </row>
    <row r="25" customFormat="false" ht="15" hidden="false" customHeight="false" outlineLevel="0" collapsed="false">
      <c r="A25" s="18" t="n">
        <v>22</v>
      </c>
      <c r="B25" s="4" t="s">
        <v>23</v>
      </c>
      <c r="C25" s="3" t="s">
        <v>120</v>
      </c>
      <c r="D25" s="15" t="n">
        <f aca="false">Locations!F27</f>
        <v>-170258.04</v>
      </c>
      <c r="E25" s="15" t="n">
        <f aca="false">Locations!F28</f>
        <v>-170258.04</v>
      </c>
      <c r="F25" s="15" t="n">
        <f aca="false">ROUND(E25-D25,2)</f>
        <v>0</v>
      </c>
      <c r="G25" s="2" t="str">
        <f aca="false">IF(ABS(F25)&lt;0.005,"PASS","REVIEW")</f>
        <v>PASS</v>
      </c>
    </row>
    <row r="26" customFormat="false" ht="15" hidden="false" customHeight="false" outlineLevel="0" collapsed="false">
      <c r="A26" s="18" t="n">
        <v>23</v>
      </c>
      <c r="B26" s="4" t="s">
        <v>23</v>
      </c>
      <c r="C26" s="3" t="s">
        <v>121</v>
      </c>
      <c r="D26" s="15" t="n">
        <f aca="false">Locations!G27</f>
        <v>7130106.01</v>
      </c>
      <c r="E26" s="15" t="n">
        <f aca="false">Locations!G28</f>
        <v>7130106.01</v>
      </c>
      <c r="F26" s="15" t="n">
        <f aca="false">ROUND(E26-D26,2)</f>
        <v>0</v>
      </c>
      <c r="G26" s="2" t="str">
        <f aca="false">IF(ABS(F26)&lt;0.005,"PASS","REVIEW")</f>
        <v>PASS</v>
      </c>
    </row>
    <row r="27" customFormat="false" ht="15" hidden="false" customHeight="false" outlineLevel="0" collapsed="false">
      <c r="A27" s="18" t="n">
        <v>24</v>
      </c>
      <c r="B27" s="4" t="s">
        <v>23</v>
      </c>
      <c r="C27" s="3" t="s">
        <v>122</v>
      </c>
      <c r="D27" s="15" t="n">
        <v>0</v>
      </c>
      <c r="E27" s="15" t="n">
        <f aca="false">SUMPRODUCT(ABS(Locations!H4:H26))</f>
        <v>0</v>
      </c>
      <c r="F27" s="15" t="n">
        <f aca="false">ROUND(E27-D27,2)</f>
        <v>0</v>
      </c>
      <c r="G27" s="2" t="str">
        <f aca="false">IF(ABS(F27)&lt;0.005,"PASS","REVIEW")</f>
        <v>PASS</v>
      </c>
    </row>
    <row r="28" customFormat="false" ht="15" hidden="false" customHeight="false" outlineLevel="0" collapsed="false">
      <c r="A28" s="18" t="n">
        <v>25</v>
      </c>
      <c r="B28" s="4" t="s">
        <v>23</v>
      </c>
      <c r="C28" s="3" t="s">
        <v>123</v>
      </c>
      <c r="D28" s="15" t="n">
        <f aca="false">Summary!B21</f>
        <v>7130106.01</v>
      </c>
      <c r="E28" s="15" t="n">
        <f aca="false">Locations!G28</f>
        <v>7130106.01</v>
      </c>
      <c r="F28" s="15" t="n">
        <f aca="false">ROUND(E28-D28,2)</f>
        <v>0</v>
      </c>
      <c r="G28" s="2" t="str">
        <f aca="false">IF(ABS(F28)&lt;0.005,"PASS","REVIEW")</f>
        <v>PASS</v>
      </c>
    </row>
    <row r="29" customFormat="false" ht="15" hidden="false" customHeight="false" outlineLevel="0" collapsed="false">
      <c r="A29" s="18" t="n">
        <v>26</v>
      </c>
      <c r="B29" s="4" t="s">
        <v>69</v>
      </c>
      <c r="C29" s="3" t="s">
        <v>124</v>
      </c>
      <c r="D29" s="15" t="n">
        <f aca="false">PaidByOthers!C26</f>
        <v>-1678631.31</v>
      </c>
      <c r="E29" s="15" t="n">
        <f aca="false">PaidByOthers!C27</f>
        <v>-1678631.31</v>
      </c>
      <c r="F29" s="15" t="n">
        <f aca="false">ROUND(E29-D29,2)</f>
        <v>0</v>
      </c>
      <c r="G29" s="2" t="str">
        <f aca="false">IF(ABS(F29)&lt;0.005,"PASS","REVIEW")</f>
        <v>PASS</v>
      </c>
    </row>
    <row r="30" customFormat="false" ht="15" hidden="false" customHeight="false" outlineLevel="0" collapsed="false">
      <c r="A30" s="18" t="n">
        <v>27</v>
      </c>
      <c r="B30" s="4" t="s">
        <v>69</v>
      </c>
      <c r="C30" s="3" t="s">
        <v>125</v>
      </c>
      <c r="D30" s="15" t="n">
        <v>0</v>
      </c>
      <c r="E30" s="15" t="n">
        <f aca="false">SUMPRODUCT(ABS(Locations!J4:J26))</f>
        <v>0</v>
      </c>
      <c r="F30" s="15" t="n">
        <f aca="false">ROUND(E30-D30,2)</f>
        <v>0</v>
      </c>
      <c r="G30" s="2" t="str">
        <f aca="false">IF(ABS(F30)&lt;0.005,"PASS","REVIEW")</f>
        <v>PASS</v>
      </c>
    </row>
    <row r="31" customFormat="false" ht="15" hidden="false" customHeight="false" outlineLevel="0" collapsed="false">
      <c r="A31" s="18" t="n">
        <v>28</v>
      </c>
      <c r="B31" s="4" t="s">
        <v>69</v>
      </c>
      <c r="C31" s="3" t="s">
        <v>126</v>
      </c>
      <c r="D31" s="15" t="n">
        <f aca="false">Summary!B17</f>
        <v>-1678631.31</v>
      </c>
      <c r="E31" s="15" t="n">
        <f aca="false">PaidByOthers!C27</f>
        <v>-1678631.31</v>
      </c>
      <c r="F31" s="15" t="n">
        <f aca="false">ROUND(E31-D31,2)</f>
        <v>0</v>
      </c>
      <c r="G31" s="2" t="str">
        <f aca="false">IF(ABS(F31)&lt;0.005,"PASS","REVIEW")</f>
        <v>PASS</v>
      </c>
    </row>
    <row r="32" customFormat="false" ht="15" hidden="false" customHeight="false" outlineLevel="0" collapsed="false">
      <c r="A32" s="18" t="n">
        <v>29</v>
      </c>
      <c r="B32" s="4" t="s">
        <v>127</v>
      </c>
      <c r="C32" s="3" t="s">
        <v>128</v>
      </c>
      <c r="D32" s="15" t="n">
        <v>0</v>
      </c>
      <c r="E32" s="15" t="n">
        <f aca="false">SUMPRODUCT(ABS(CardType!I4:I8))</f>
        <v>0</v>
      </c>
      <c r="F32" s="15" t="n">
        <f aca="false">ROUND(E32-D32,2)</f>
        <v>0</v>
      </c>
      <c r="G32" s="2" t="str">
        <f aca="false">IF(ABS(F32)&lt;0.005,"PASS","REVIEW")</f>
        <v>PASS</v>
      </c>
    </row>
    <row r="33" customFormat="false" ht="15" hidden="false" customHeight="false" outlineLevel="0" collapsed="false">
      <c r="A33" s="18" t="n">
        <v>30</v>
      </c>
      <c r="B33" s="4" t="s">
        <v>127</v>
      </c>
      <c r="C33" s="3" t="s">
        <v>129</v>
      </c>
      <c r="D33" s="18" t="n">
        <v>0</v>
      </c>
      <c r="E33" s="18" t="n">
        <f aca="false">SUMPRODUCT(ABS(CardType!J4:J8))</f>
        <v>0</v>
      </c>
      <c r="F33" s="18" t="n">
        <f aca="false">ROUND(E33-D33,2)</f>
        <v>0</v>
      </c>
      <c r="G33" s="2" t="str">
        <f aca="false">IF(ABS(F33)&lt;0.005,"PASS","REVIEW")</f>
        <v>PASS</v>
      </c>
    </row>
    <row r="34" customFormat="false" ht="15" hidden="false" customHeight="false" outlineLevel="0" collapsed="false">
      <c r="A34" s="18" t="n">
        <v>31</v>
      </c>
      <c r="B34" s="4" t="s">
        <v>127</v>
      </c>
      <c r="C34" s="3" t="s">
        <v>130</v>
      </c>
      <c r="D34" s="18" t="n">
        <f aca="false">CardType!C9</f>
        <v>10571</v>
      </c>
      <c r="E34" s="18" t="n">
        <f aca="false">CardType!C10</f>
        <v>10571</v>
      </c>
      <c r="F34" s="18" t="n">
        <f aca="false">ROUND(E34-D34,2)</f>
        <v>0</v>
      </c>
      <c r="G34" s="2" t="str">
        <f aca="false">IF(ABS(F34)&lt;0.005,"PASS","REVIEW")</f>
        <v>PASS</v>
      </c>
    </row>
    <row r="35" customFormat="false" ht="15" hidden="false" customHeight="false" outlineLevel="0" collapsed="false">
      <c r="A35" s="18" t="n">
        <v>32</v>
      </c>
      <c r="B35" s="4" t="s">
        <v>127</v>
      </c>
      <c r="C35" s="3" t="s">
        <v>131</v>
      </c>
      <c r="D35" s="15" t="n">
        <f aca="false">CardType!D9</f>
        <v>9228078.18</v>
      </c>
      <c r="E35" s="15" t="n">
        <f aca="false">CardType!D10</f>
        <v>9228078.18</v>
      </c>
      <c r="F35" s="15" t="n">
        <f aca="false">ROUND(E35-D35,2)</f>
        <v>0</v>
      </c>
      <c r="G35" s="2" t="str">
        <f aca="false">IF(ABS(F35)&lt;0.005,"PASS","REVIEW")</f>
        <v>PASS</v>
      </c>
    </row>
    <row r="36" customFormat="false" ht="15" hidden="false" customHeight="false" outlineLevel="0" collapsed="false">
      <c r="A36" s="18" t="n">
        <v>33</v>
      </c>
      <c r="B36" s="4" t="s">
        <v>127</v>
      </c>
      <c r="C36" s="3" t="s">
        <v>132</v>
      </c>
      <c r="D36" s="18" t="n">
        <f aca="false">CardType!E9</f>
        <v>542</v>
      </c>
      <c r="E36" s="18" t="n">
        <f aca="false">CardType!E10</f>
        <v>542</v>
      </c>
      <c r="F36" s="18" t="n">
        <f aca="false">ROUND(E36-D36,2)</f>
        <v>0</v>
      </c>
      <c r="G36" s="2" t="str">
        <f aca="false">IF(ABS(F36)&lt;0.005,"PASS","REVIEW")</f>
        <v>PASS</v>
      </c>
    </row>
    <row r="37" customFormat="false" ht="15" hidden="false" customHeight="false" outlineLevel="0" collapsed="false">
      <c r="A37" s="18" t="n">
        <v>34</v>
      </c>
      <c r="B37" s="4" t="s">
        <v>127</v>
      </c>
      <c r="C37" s="3" t="s">
        <v>133</v>
      </c>
      <c r="D37" s="15" t="n">
        <f aca="false">CardType!F9</f>
        <v>-247869</v>
      </c>
      <c r="E37" s="15" t="n">
        <f aca="false">CardType!F10</f>
        <v>-247869</v>
      </c>
      <c r="F37" s="15" t="n">
        <f aca="false">ROUND(E37-D37,2)</f>
        <v>0</v>
      </c>
      <c r="G37" s="2" t="str">
        <f aca="false">IF(ABS(F37)&lt;0.005,"PASS","REVIEW")</f>
        <v>PASS</v>
      </c>
    </row>
    <row r="38" customFormat="false" ht="15" hidden="false" customHeight="false" outlineLevel="0" collapsed="false">
      <c r="A38" s="18" t="n">
        <v>35</v>
      </c>
      <c r="B38" s="4" t="s">
        <v>127</v>
      </c>
      <c r="C38" s="3" t="s">
        <v>134</v>
      </c>
      <c r="D38" s="18" t="n">
        <f aca="false">CardType!G9</f>
        <v>11113</v>
      </c>
      <c r="E38" s="18" t="n">
        <f aca="false">CardType!G10</f>
        <v>11113</v>
      </c>
      <c r="F38" s="18" t="n">
        <f aca="false">ROUND(E38-D38,2)</f>
        <v>0</v>
      </c>
      <c r="G38" s="2" t="str">
        <f aca="false">IF(ABS(F38)&lt;0.005,"PASS","REVIEW")</f>
        <v>PASS</v>
      </c>
    </row>
    <row r="39" customFormat="false" ht="15" hidden="false" customHeight="false" outlineLevel="0" collapsed="false">
      <c r="A39" s="18" t="n">
        <v>36</v>
      </c>
      <c r="B39" s="4" t="s">
        <v>127</v>
      </c>
      <c r="C39" s="3" t="s">
        <v>135</v>
      </c>
      <c r="D39" s="15" t="n">
        <f aca="false">CardType!H9</f>
        <v>8980209.18</v>
      </c>
      <c r="E39" s="15" t="n">
        <f aca="false">CardType!H10</f>
        <v>8980209.18</v>
      </c>
      <c r="F39" s="15" t="n">
        <f aca="false">ROUND(E39-D39,2)</f>
        <v>0</v>
      </c>
      <c r="G39" s="2" t="str">
        <f aca="false">IF(ABS(F39)&lt;0.005,"PASS","REVIEW")</f>
        <v>PASS</v>
      </c>
    </row>
    <row r="40" customFormat="false" ht="15" hidden="false" customHeight="false" outlineLevel="0" collapsed="false">
      <c r="A40" s="18" t="n">
        <v>37</v>
      </c>
      <c r="B40" s="4" t="s">
        <v>127</v>
      </c>
      <c r="C40" s="3" t="s">
        <v>136</v>
      </c>
      <c r="D40" s="15" t="n">
        <f aca="false">Summary!B16</f>
        <v>8980209.18</v>
      </c>
      <c r="E40" s="15" t="n">
        <f aca="false">CardType!H10</f>
        <v>8980209.18</v>
      </c>
      <c r="F40" s="15" t="n">
        <f aca="false">ROUND(E40-D40,2)</f>
        <v>0</v>
      </c>
      <c r="G40" s="2" t="str">
        <f aca="false">IF(ABS(F40)&lt;0.005,"PASS","REVIEW")</f>
        <v>PASS</v>
      </c>
    </row>
    <row r="41" customFormat="false" ht="15" hidden="false" customHeight="false" outlineLevel="0" collapsed="false">
      <c r="A41" s="18" t="n">
        <v>38</v>
      </c>
      <c r="B41" s="4" t="s">
        <v>127</v>
      </c>
      <c r="C41" s="3" t="s">
        <v>137</v>
      </c>
      <c r="D41" s="15" t="n">
        <v>0</v>
      </c>
      <c r="E41" s="15" t="n">
        <f aca="false">SUMPRODUCT(ABS(CardType!L4:L8))</f>
        <v>0</v>
      </c>
      <c r="F41" s="15" t="n">
        <f aca="false">ROUND(E41-D41,2)</f>
        <v>0</v>
      </c>
      <c r="G41" s="2" t="str">
        <f aca="false">IF(ABS(F41)&lt;0.005,"PASS","REVIEW")</f>
        <v>PASS</v>
      </c>
    </row>
    <row r="42" customFormat="false" ht="15" hidden="false" customHeight="false" outlineLevel="0" collapsed="false">
      <c r="A42" s="18" t="n">
        <v>39</v>
      </c>
      <c r="B42" s="4" t="s">
        <v>27</v>
      </c>
      <c r="C42" s="3" t="s">
        <v>138</v>
      </c>
      <c r="D42" s="15" t="n">
        <f aca="false">Summary!B18</f>
        <v>-1213.82</v>
      </c>
      <c r="E42" s="15" t="n">
        <f aca="false">Disputes!F7</f>
        <v>-1213.82</v>
      </c>
      <c r="F42" s="15" t="n">
        <f aca="false">ROUND(E42-D42,2)</f>
        <v>0</v>
      </c>
      <c r="G42" s="2" t="str">
        <f aca="false">IF(ABS(F42)&lt;0.005,"PASS","REVIEW")</f>
        <v>PASS</v>
      </c>
    </row>
    <row r="43" customFormat="false" ht="15" hidden="false" customHeight="false" outlineLevel="0" collapsed="false">
      <c r="A43" s="18" t="n">
        <v>40</v>
      </c>
      <c r="B43" s="4" t="s">
        <v>27</v>
      </c>
      <c r="C43" s="3" t="s">
        <v>139</v>
      </c>
      <c r="D43" s="15" t="n">
        <f aca="false">Locations!D27</f>
        <v>-1213.82</v>
      </c>
      <c r="E43" s="15" t="n">
        <f aca="false">Disputes!F7</f>
        <v>-1213.82</v>
      </c>
      <c r="F43" s="15" t="n">
        <f aca="false">ROUND(E43-D43,2)</f>
        <v>0</v>
      </c>
      <c r="G43" s="2" t="str">
        <f aca="false">IF(ABS(F43)&lt;0.005,"PASS","REVIEW")</f>
        <v>PASS</v>
      </c>
    </row>
    <row r="44" customFormat="false" ht="15" hidden="false" customHeight="false" outlineLevel="0" collapsed="false">
      <c r="A44" s="18" t="n">
        <v>41</v>
      </c>
      <c r="B44" s="4" t="s">
        <v>71</v>
      </c>
      <c r="C44" s="3" t="s">
        <v>140</v>
      </c>
      <c r="D44" s="15" t="n">
        <f aca="false">FeeSummary!B36</f>
        <v>-170258.04</v>
      </c>
      <c r="E44" s="15" t="n">
        <f aca="false">SUM(FeeSummary!B33:B35)</f>
        <v>-170258.04</v>
      </c>
      <c r="F44" s="15" t="n">
        <f aca="false">ROUND(E44-D44,2)</f>
        <v>0</v>
      </c>
      <c r="G44" s="2" t="str">
        <f aca="false">IF(ABS(F44)&lt;0.005,"PASS","REVIEW")</f>
        <v>PASS</v>
      </c>
    </row>
    <row r="45" customFormat="false" ht="15" hidden="false" customHeight="false" outlineLevel="0" collapsed="false">
      <c r="A45" s="18" t="n">
        <v>42</v>
      </c>
      <c r="B45" s="4" t="s">
        <v>71</v>
      </c>
      <c r="C45" s="3" t="s">
        <v>141</v>
      </c>
      <c r="D45" s="15" t="n">
        <f aca="false">Summary!B20</f>
        <v>-170258.04</v>
      </c>
      <c r="E45" s="15" t="n">
        <f aca="false">FeeSummary!B36</f>
        <v>-170258.04</v>
      </c>
      <c r="F45" s="15" t="n">
        <f aca="false">ROUND(E45-D45,2)</f>
        <v>0</v>
      </c>
      <c r="G45" s="2" t="str">
        <f aca="false">IF(ABS(F45)&lt;0.005,"PASS","REVIEW")</f>
        <v>PASS</v>
      </c>
    </row>
    <row r="46" customFormat="false" ht="15" hidden="false" customHeight="false" outlineLevel="0" collapsed="false">
      <c r="A46" s="18" t="n">
        <v>43</v>
      </c>
      <c r="B46" s="4" t="s">
        <v>71</v>
      </c>
      <c r="C46" s="3" t="s">
        <v>142</v>
      </c>
      <c r="D46" s="15" t="n">
        <f aca="false">Summary!B20</f>
        <v>-170258.04</v>
      </c>
      <c r="E46" s="15" t="n">
        <f aca="false">FeeDetail!F361</f>
        <v>-170258.04</v>
      </c>
      <c r="F46" s="15" t="n">
        <f aca="false">ROUND(E46-D46,2)</f>
        <v>0</v>
      </c>
      <c r="G46" s="2" t="str">
        <f aca="false">IF(ABS(F46)&lt;0.005,"PASS","REVIEW")</f>
        <v>PASS</v>
      </c>
    </row>
    <row r="47" customFormat="false" ht="15" hidden="false" customHeight="false" outlineLevel="0" collapsed="false">
      <c r="A47" s="18" t="n">
        <v>44</v>
      </c>
      <c r="B47" s="4" t="s">
        <v>71</v>
      </c>
      <c r="C47" s="3" t="s">
        <v>143</v>
      </c>
      <c r="D47" s="15" t="n">
        <f aca="false">FeeSummary!B33</f>
        <v>-12133.63</v>
      </c>
      <c r="E47" s="15" t="n">
        <f aca="false">FeeSummary!C33</f>
        <v>-12133.63</v>
      </c>
      <c r="F47" s="15" t="n">
        <f aca="false">ROUND(E47-D47,2)</f>
        <v>0</v>
      </c>
      <c r="G47" s="2" t="str">
        <f aca="false">IF(ABS(F47)&lt;0.005,"PASS","REVIEW")</f>
        <v>PASS</v>
      </c>
    </row>
    <row r="48" customFormat="false" ht="15" hidden="false" customHeight="false" outlineLevel="0" collapsed="false">
      <c r="A48" s="18" t="n">
        <v>45</v>
      </c>
      <c r="B48" s="4" t="s">
        <v>71</v>
      </c>
      <c r="C48" s="3" t="s">
        <v>144</v>
      </c>
      <c r="D48" s="15" t="n">
        <f aca="false">FeeSummary!B34</f>
        <v>-146436.8</v>
      </c>
      <c r="E48" s="15" t="n">
        <f aca="false">FeeSummary!C34</f>
        <v>-146436.8</v>
      </c>
      <c r="F48" s="15" t="n">
        <f aca="false">ROUND(E48-D48,2)</f>
        <v>0</v>
      </c>
      <c r="G48" s="2" t="str">
        <f aca="false">IF(ABS(F48)&lt;0.005,"PASS","REVIEW")</f>
        <v>PASS</v>
      </c>
    </row>
    <row r="49" customFormat="false" ht="15" hidden="false" customHeight="false" outlineLevel="0" collapsed="false">
      <c r="A49" s="18" t="n">
        <v>46</v>
      </c>
      <c r="B49" s="4" t="s">
        <v>71</v>
      </c>
      <c r="C49" s="3" t="s">
        <v>145</v>
      </c>
      <c r="D49" s="15" t="n">
        <f aca="false">FeeSummary!B35</f>
        <v>-11687.61</v>
      </c>
      <c r="E49" s="15" t="n">
        <f aca="false">FeeSummary!C35</f>
        <v>-11687.61</v>
      </c>
      <c r="F49" s="15" t="n">
        <f aca="false">ROUND(E49-D49,2)</f>
        <v>0</v>
      </c>
      <c r="G49" s="2" t="str">
        <f aca="false">IF(ABS(F49)&lt;0.005,"PASS","REVIEW")</f>
        <v>PASS</v>
      </c>
    </row>
    <row r="50" customFormat="false" ht="15" hidden="false" customHeight="false" outlineLevel="0" collapsed="false">
      <c r="A50" s="18" t="n">
        <v>47</v>
      </c>
      <c r="B50" s="4" t="s">
        <v>71</v>
      </c>
      <c r="C50" s="3" t="s">
        <v>146</v>
      </c>
      <c r="D50" s="15" t="n">
        <f aca="false">FeeSummary!B25</f>
        <v>-9375.7</v>
      </c>
      <c r="E50" s="15" t="n">
        <f aca="false">FeeSummary!C25</f>
        <v>-9375.7</v>
      </c>
      <c r="F50" s="15" t="n">
        <f aca="false">ROUND(E50-D50,2)</f>
        <v>0</v>
      </c>
      <c r="G50" s="2" t="str">
        <f aca="false">IF(ABS(F50)&lt;0.005,"PASS","REVIEW")</f>
        <v>PASS</v>
      </c>
    </row>
    <row r="51" customFormat="false" ht="15" hidden="false" customHeight="false" outlineLevel="0" collapsed="false">
      <c r="A51" s="18" t="n">
        <v>48</v>
      </c>
      <c r="B51" s="4" t="s">
        <v>71</v>
      </c>
      <c r="C51" s="3" t="s">
        <v>147</v>
      </c>
      <c r="D51" s="15" t="n">
        <f aca="false">FeeSummary!B26</f>
        <v>-3863.23</v>
      </c>
      <c r="E51" s="15" t="n">
        <f aca="false">FeeSummary!C26</f>
        <v>-3863.23</v>
      </c>
      <c r="F51" s="15" t="n">
        <f aca="false">ROUND(E51-D51,2)</f>
        <v>0</v>
      </c>
      <c r="G51" s="2" t="str">
        <f aca="false">IF(ABS(F51)&lt;0.005,"PASS","REVIEW")</f>
        <v>PASS</v>
      </c>
    </row>
    <row r="52" customFormat="false" ht="15" hidden="false" customHeight="false" outlineLevel="0" collapsed="false">
      <c r="A52" s="18" t="n">
        <v>49</v>
      </c>
      <c r="B52" s="4" t="s">
        <v>71</v>
      </c>
      <c r="C52" s="3" t="s">
        <v>148</v>
      </c>
      <c r="D52" s="15" t="n">
        <f aca="false">FeeSummary!B27</f>
        <v>-4.9</v>
      </c>
      <c r="E52" s="15" t="n">
        <f aca="false">FeeSummary!C27</f>
        <v>-4.9</v>
      </c>
      <c r="F52" s="15" t="n">
        <f aca="false">ROUND(E52-D52,2)</f>
        <v>0</v>
      </c>
      <c r="G52" s="2" t="str">
        <f aca="false">IF(ABS(F52)&lt;0.005,"PASS","REVIEW")</f>
        <v>PASS</v>
      </c>
    </row>
    <row r="53" customFormat="false" ht="15" hidden="false" customHeight="false" outlineLevel="0" collapsed="false">
      <c r="A53" s="18" t="n">
        <v>50</v>
      </c>
      <c r="B53" s="4" t="s">
        <v>71</v>
      </c>
      <c r="C53" s="3" t="s">
        <v>149</v>
      </c>
      <c r="D53" s="15" t="n">
        <f aca="false">FeeSummary!B28</f>
        <v>-157014.21</v>
      </c>
      <c r="E53" s="15" t="n">
        <f aca="false">FeeSummary!C28</f>
        <v>-157014.21</v>
      </c>
      <c r="F53" s="15" t="n">
        <f aca="false">ROUND(E53-D53,2)</f>
        <v>0</v>
      </c>
      <c r="G53" s="2" t="str">
        <f aca="false">IF(ABS(F53)&lt;0.005,"PASS","REVIEW")</f>
        <v>PASS</v>
      </c>
    </row>
    <row r="54" customFormat="false" ht="23.85" hidden="false" customHeight="false" outlineLevel="0" collapsed="false">
      <c r="A54" s="18" t="n">
        <v>51</v>
      </c>
      <c r="B54" s="4" t="s">
        <v>71</v>
      </c>
      <c r="C54" s="3" t="s">
        <v>150</v>
      </c>
      <c r="D54" s="15" t="n">
        <v>0</v>
      </c>
      <c r="E54" s="15" t="n">
        <f aca="false">SUMPRODUCT(ABS(FeeSummary!B18:H21))</f>
        <v>0</v>
      </c>
      <c r="F54" s="15" t="n">
        <f aca="false">ROUND(E54-D54,2)</f>
        <v>0</v>
      </c>
      <c r="G54" s="2" t="str">
        <f aca="false">IF(ABS(F54)&lt;0.005,"PASS","REVIEW")</f>
        <v>PASS</v>
      </c>
    </row>
    <row r="55" customFormat="false" ht="15" hidden="false" customHeight="false" outlineLevel="0" collapsed="false">
      <c r="A55" s="18" t="n">
        <v>52</v>
      </c>
      <c r="B55" s="4" t="s">
        <v>71</v>
      </c>
      <c r="C55" s="3" t="s">
        <v>151</v>
      </c>
      <c r="D55" s="15" t="n">
        <f aca="false">Locations!F27</f>
        <v>-170258.04</v>
      </c>
      <c r="E55" s="15" t="n">
        <f aca="false">FeeDetail!F361</f>
        <v>-170258.04</v>
      </c>
      <c r="F55" s="15" t="n">
        <f aca="false">ROUND(E55-D55,2)</f>
        <v>0</v>
      </c>
      <c r="G55" s="2" t="str">
        <f aca="false">IF(ABS(F55)&lt;0.005,"PASS","REVIEW")</f>
        <v>PASS</v>
      </c>
    </row>
    <row r="56" customFormat="false" ht="15" hidden="false" customHeight="false" outlineLevel="0" collapsed="false">
      <c r="A56" s="18" t="n">
        <v>53</v>
      </c>
      <c r="B56" s="4" t="s">
        <v>33</v>
      </c>
      <c r="C56" s="3" t="s">
        <v>152</v>
      </c>
      <c r="D56" s="15" t="n">
        <v>0</v>
      </c>
      <c r="E56" s="15" t="n">
        <f aca="false">SUMPRODUCT(ABS(Interchange!H147:H151))</f>
        <v>0</v>
      </c>
      <c r="F56" s="15" t="n">
        <f aca="false">ROUND(E56-D56,2)</f>
        <v>0</v>
      </c>
      <c r="G56" s="2" t="str">
        <f aca="false">IF(ABS(F56)&lt;0.005,"PASS","REVIEW")</f>
        <v>PASS</v>
      </c>
    </row>
    <row r="57" customFormat="false" ht="15" hidden="false" customHeight="false" outlineLevel="0" collapsed="false">
      <c r="A57" s="18" t="n">
        <v>54</v>
      </c>
      <c r="B57" s="4" t="s">
        <v>33</v>
      </c>
      <c r="C57" s="3" t="s">
        <v>153</v>
      </c>
      <c r="D57" s="18" t="n">
        <v>0</v>
      </c>
      <c r="E57" s="18" t="n">
        <f aca="false">SUMPRODUCT(ABS(Interchange!I147:I151))</f>
        <v>0</v>
      </c>
      <c r="F57" s="18" t="n">
        <f aca="false">ROUND(E57-D57,2)</f>
        <v>0</v>
      </c>
      <c r="G57" s="2" t="str">
        <f aca="false">IF(ABS(F57)&lt;0.005,"PASS","REVIEW")</f>
        <v>PASS</v>
      </c>
    </row>
    <row r="58" customFormat="false" ht="15" hidden="false" customHeight="false" outlineLevel="0" collapsed="false">
      <c r="A58" s="18" t="n">
        <v>55</v>
      </c>
      <c r="B58" s="4" t="s">
        <v>33</v>
      </c>
      <c r="C58" s="3" t="s">
        <v>154</v>
      </c>
      <c r="D58" s="15" t="n">
        <v>0</v>
      </c>
      <c r="E58" s="15" t="n">
        <f aca="false">SUMPRODUCT(ABS(Interchange!J147:J151))</f>
        <v>0</v>
      </c>
      <c r="F58" s="15" t="n">
        <f aca="false">ROUND(E58-D58,2)</f>
        <v>0</v>
      </c>
      <c r="G58" s="2" t="str">
        <f aca="false">IF(ABS(F58)&lt;0.005,"PASS","REVIEW")</f>
        <v>PASS</v>
      </c>
    </row>
    <row r="59" customFormat="false" ht="15" hidden="false" customHeight="false" outlineLevel="0" collapsed="false">
      <c r="A59" s="18" t="n">
        <v>56</v>
      </c>
      <c r="B59" s="4" t="s">
        <v>33</v>
      </c>
      <c r="C59" s="3" t="s">
        <v>155</v>
      </c>
      <c r="D59" s="15" t="n">
        <f aca="false">Interchange!D152</f>
        <v>-132608.12</v>
      </c>
      <c r="E59" s="15" t="n">
        <f aca="false">Interchange!G152</f>
        <v>-132608.12</v>
      </c>
      <c r="F59" s="15" t="n">
        <f aca="false">ROUND(E59-D59,2)</f>
        <v>0</v>
      </c>
      <c r="G59" s="2" t="str">
        <f aca="false">IF(ABS(F59)&lt;0.005,"PASS","REVIEW")</f>
        <v>PASS</v>
      </c>
    </row>
    <row r="60" customFormat="false" ht="15" hidden="false" customHeight="false" outlineLevel="0" collapsed="false">
      <c r="A60" s="18" t="n">
        <v>57</v>
      </c>
      <c r="B60" s="4" t="s">
        <v>33</v>
      </c>
      <c r="C60" s="3" t="s">
        <v>156</v>
      </c>
      <c r="D60" s="15" t="n">
        <f aca="false">Summary!B16</f>
        <v>8980209.18</v>
      </c>
      <c r="E60" s="15" t="n">
        <f aca="false">Interchange!E152</f>
        <v>8980209.18</v>
      </c>
      <c r="F60" s="15" t="n">
        <f aca="false">ROUND(E60-D60,2)</f>
        <v>0</v>
      </c>
      <c r="G60" s="2" t="str">
        <f aca="false">IF(ABS(F60)&lt;0.005,"PASS","REVIEW")</f>
        <v>PASS</v>
      </c>
    </row>
    <row r="61" customFormat="false" ht="15" hidden="false" customHeight="false" outlineLevel="0" collapsed="false">
      <c r="A61" s="18" t="n">
        <v>58</v>
      </c>
      <c r="B61" s="4" t="s">
        <v>33</v>
      </c>
      <c r="C61" s="3" t="s">
        <v>157</v>
      </c>
      <c r="D61" s="15" t="n">
        <f aca="false">FeeSummary!B43</f>
        <v>-146436.8</v>
      </c>
      <c r="E61" s="15" t="n">
        <f aca="false">FeeSummary!B42</f>
        <v>-146436.8</v>
      </c>
      <c r="F61" s="15" t="n">
        <f aca="false">ROUND(E61-D61,2)</f>
        <v>0</v>
      </c>
      <c r="G61" s="2" t="str">
        <f aca="false">IF(ABS(F61)&lt;0.005,"PASS","REVIEW")</f>
        <v>PASS</v>
      </c>
    </row>
    <row r="62" customFormat="false" ht="15" hidden="false" customHeight="false" outlineLevel="0" collapsed="false">
      <c r="A62" s="18" t="n">
        <v>59</v>
      </c>
      <c r="B62" s="4" t="s">
        <v>33</v>
      </c>
      <c r="C62" s="3" t="s">
        <v>158</v>
      </c>
      <c r="D62" s="15" t="n">
        <f aca="false">FeeSummary!E48</f>
        <v>-61395.78</v>
      </c>
      <c r="E62" s="15" t="n">
        <f aca="false">FeeSummary!D48</f>
        <v>-61395.78</v>
      </c>
      <c r="F62" s="15" t="n">
        <f aca="false">ROUND(E62-D62,2)</f>
        <v>0</v>
      </c>
      <c r="G62" s="2" t="str">
        <f aca="false">IF(ABS(F62)&lt;0.005,"PASS","REVIEW")</f>
        <v>PASS</v>
      </c>
    </row>
    <row r="63" customFormat="false" ht="15" hidden="false" customHeight="false" outlineLevel="0" collapsed="false">
      <c r="A63" s="18" t="n">
        <v>60</v>
      </c>
      <c r="B63" s="4" t="s">
        <v>33</v>
      </c>
      <c r="C63" s="3" t="s">
        <v>159</v>
      </c>
      <c r="D63" s="15" t="n">
        <f aca="false">FeeSummary!E49</f>
        <v>-77822.77</v>
      </c>
      <c r="E63" s="15" t="n">
        <f aca="false">FeeSummary!D49</f>
        <v>-77822.77</v>
      </c>
      <c r="F63" s="15" t="n">
        <f aca="false">ROUND(E63-D63,2)</f>
        <v>0</v>
      </c>
      <c r="G63" s="2" t="str">
        <f aca="false">IF(ABS(F63)&lt;0.005,"PASS","REVIEW")</f>
        <v>PASS</v>
      </c>
    </row>
    <row r="64" customFormat="false" ht="15" hidden="false" customHeight="false" outlineLevel="0" collapsed="false">
      <c r="A64" s="18" t="n">
        <v>61</v>
      </c>
      <c r="B64" s="4" t="s">
        <v>33</v>
      </c>
      <c r="C64" s="3" t="s">
        <v>160</v>
      </c>
      <c r="D64" s="15" t="n">
        <f aca="false">FeeSummary!E50</f>
        <v>-3351.3</v>
      </c>
      <c r="E64" s="15" t="n">
        <f aca="false">FeeSummary!D50</f>
        <v>-3351.3</v>
      </c>
      <c r="F64" s="15" t="n">
        <f aca="false">ROUND(E64-D64,2)</f>
        <v>0</v>
      </c>
      <c r="G64" s="2" t="str">
        <f aca="false">IF(ABS(F64)&lt;0.005,"PASS","REVIEW")</f>
        <v>PASS</v>
      </c>
    </row>
    <row r="65" customFormat="false" ht="15" hidden="false" customHeight="false" outlineLevel="0" collapsed="false">
      <c r="A65" s="18" t="n">
        <v>62</v>
      </c>
      <c r="B65" s="4" t="s">
        <v>71</v>
      </c>
      <c r="C65" s="3" t="s">
        <v>161</v>
      </c>
      <c r="D65" s="15" t="n">
        <f aca="false">CardType!D4</f>
        <v>2664297.23</v>
      </c>
      <c r="E65" s="15" t="n">
        <f aca="false">SUMIFS(FeeDetail!$H$4:$H$360,FeeDetail!$C$4:$C$360,"Mastercard",FeeDetail!$D$4:$D$360,"*SALES DISC*")</f>
        <v>2664297.23</v>
      </c>
      <c r="F65" s="15" t="n">
        <f aca="false">ROUND(E65-D65,2)</f>
        <v>0</v>
      </c>
      <c r="G65" s="2" t="str">
        <f aca="false">IF(ABS(F65)&lt;0.005,"PASS","REVIEW")</f>
        <v>PASS</v>
      </c>
    </row>
    <row r="66" customFormat="false" ht="15" hidden="false" customHeight="false" outlineLevel="0" collapsed="false">
      <c r="A66" s="18" t="n">
        <v>63</v>
      </c>
      <c r="B66" s="4" t="s">
        <v>71</v>
      </c>
      <c r="C66" s="3" t="s">
        <v>162</v>
      </c>
      <c r="D66" s="15" t="n">
        <f aca="false">CardType!D5</f>
        <v>4308663.34</v>
      </c>
      <c r="E66" s="15" t="n">
        <f aca="false">SUMIFS(FeeDetail!$H$4:$H$360,FeeDetail!$C$4:$C$360,"Visa",FeeDetail!$D$4:$D$360,"*SALES DISC*")</f>
        <v>4308663.34</v>
      </c>
      <c r="F66" s="15" t="n">
        <f aca="false">ROUND(E66-D66,2)</f>
        <v>0</v>
      </c>
      <c r="G66" s="2" t="str">
        <f aca="false">IF(ABS(F66)&lt;0.005,"PASS","REVIEW")</f>
        <v>PASS</v>
      </c>
    </row>
    <row r="67" customFormat="false" ht="15" hidden="false" customHeight="false" outlineLevel="0" collapsed="false">
      <c r="A67" s="18" t="n">
        <v>64</v>
      </c>
      <c r="B67" s="4" t="s">
        <v>71</v>
      </c>
      <c r="C67" s="3" t="s">
        <v>163</v>
      </c>
      <c r="D67" s="15" t="n">
        <f aca="false">CardType!D6</f>
        <v>154076.77</v>
      </c>
      <c r="E67" s="15" t="n">
        <f aca="false">SUMIFS(FeeDetail!$H$4:$H$360,FeeDetail!$C$4:$C$360,"Discover",FeeDetail!$D$4:$D$360,"*SALES DISC*")</f>
        <v>154076.77</v>
      </c>
      <c r="F67" s="15" t="n">
        <f aca="false">ROUND(E67-D67,2)</f>
        <v>0</v>
      </c>
      <c r="G67" s="2" t="str">
        <f aca="false">IF(ABS(F67)&lt;0.005,"PASS","REVIEW")</f>
        <v>PASS</v>
      </c>
    </row>
    <row r="68" customFormat="false" ht="15" hidden="false" customHeight="false" outlineLevel="0" collapsed="false">
      <c r="A68" s="18" t="n">
        <v>65</v>
      </c>
      <c r="B68" s="4" t="s">
        <v>33</v>
      </c>
      <c r="C68" s="3" t="s">
        <v>164</v>
      </c>
      <c r="D68" s="18" t="n">
        <v>0</v>
      </c>
      <c r="E68" s="18" t="n">
        <f aca="false">COUNTIF(Interchange!L4:L143,"REVIEW")</f>
        <v>3</v>
      </c>
      <c r="F68" s="18" t="n">
        <f aca="false">ROUND(E68-D68,2)</f>
        <v>3</v>
      </c>
      <c r="G68" s="2" t="str">
        <f aca="false">IF(ABS(F68)&lt;0.005,"PASS","REVIEW")</f>
        <v>REVIEW</v>
      </c>
    </row>
    <row r="69" customFormat="false" ht="23.85" hidden="false" customHeight="false" outlineLevel="0" collapsed="false">
      <c r="A69" s="18" t="n">
        <v>66</v>
      </c>
      <c r="B69" s="4" t="s">
        <v>33</v>
      </c>
      <c r="C69" s="3" t="s">
        <v>165</v>
      </c>
      <c r="D69" s="18" t="n">
        <v>0</v>
      </c>
      <c r="E69" s="18" t="n">
        <f aca="false">COUNTIF(Interchange!O4:O143,"REVIEW")</f>
        <v>0</v>
      </c>
      <c r="F69" s="18" t="n">
        <f aca="false">ROUND(E69-D69,2)</f>
        <v>0</v>
      </c>
      <c r="G69" s="2" t="str">
        <f aca="false">IF(ABS(F69)&lt;0.005,"PASS","REVIEW")</f>
        <v>PASS</v>
      </c>
    </row>
    <row r="70" customFormat="false" ht="23.85" hidden="false" customHeight="false" outlineLevel="0" collapsed="false">
      <c r="A70" s="18" t="n">
        <v>67</v>
      </c>
      <c r="B70" s="4" t="s">
        <v>127</v>
      </c>
      <c r="C70" s="3" t="s">
        <v>166</v>
      </c>
      <c r="D70" s="15" t="n">
        <v>0</v>
      </c>
      <c r="E70" s="15" t="n">
        <f aca="false">SUMPRODUCT(ABS(CardType!O4:O8))*100</f>
        <v>0</v>
      </c>
      <c r="F70" s="15" t="n">
        <f aca="false">ROUND(E70-D70,2)</f>
        <v>0</v>
      </c>
      <c r="G70" s="2" t="str">
        <f aca="false">IF(ABS(F70)&lt;0.005,"PASS","REVIEW")</f>
        <v>PASS</v>
      </c>
    </row>
    <row r="71" customFormat="false" ht="15" hidden="false" customHeight="false" outlineLevel="0" collapsed="false">
      <c r="A71" s="18" t="n">
        <v>68</v>
      </c>
      <c r="B71" s="4" t="s">
        <v>71</v>
      </c>
      <c r="C71" s="3" t="s">
        <v>167</v>
      </c>
      <c r="D71" s="15" t="n">
        <v>0</v>
      </c>
      <c r="E71" s="15" t="n">
        <f aca="false">SUMPRODUCT(ABS(FeeSummary!D54:D56))*100</f>
        <v>0</v>
      </c>
      <c r="F71" s="15" t="n">
        <f aca="false">ROUND(E71-D71,2)</f>
        <v>0</v>
      </c>
      <c r="G71" s="2" t="str">
        <f aca="false">IF(ABS(F71)&lt;0.005,"PASS","REVIEW")</f>
        <v>PASS</v>
      </c>
    </row>
    <row r="72" customFormat="false" ht="15" hidden="false" customHeight="false" outlineLevel="0" collapsed="false">
      <c r="A72" s="18" t="n">
        <v>69</v>
      </c>
      <c r="B72" s="4" t="s">
        <v>71</v>
      </c>
      <c r="C72" s="3" t="s">
        <v>168</v>
      </c>
      <c r="D72" s="18" t="n">
        <v>0</v>
      </c>
      <c r="E72" s="18" t="n">
        <f aca="false">COUNTIF(FeeDetail!L4:L360,"REVIEW")</f>
        <v>0</v>
      </c>
      <c r="F72" s="18" t="n">
        <f aca="false">ROUND(E72-D72,2)</f>
        <v>0</v>
      </c>
      <c r="G72" s="2" t="str">
        <f aca="false">IF(ABS(F72)&lt;0.005,"PASS","REVIEW")</f>
        <v>PASS</v>
      </c>
    </row>
    <row r="73" customFormat="false" ht="15" hidden="false" customHeight="false" outlineLevel="0" collapsed="false">
      <c r="A73" s="18" t="n">
        <v>70</v>
      </c>
      <c r="B73" s="4" t="s">
        <v>35</v>
      </c>
      <c r="C73" s="3" t="s">
        <v>169</v>
      </c>
      <c r="D73" s="15" t="n">
        <f aca="false">Funded!B58</f>
        <v>8980209.18</v>
      </c>
      <c r="E73" s="15" t="n">
        <f aca="false">Funded!B59</f>
        <v>8980209.18</v>
      </c>
      <c r="F73" s="15" t="n">
        <f aca="false">ROUND(E73-D73,2)</f>
        <v>0</v>
      </c>
      <c r="G73" s="2" t="str">
        <f aca="false">IF(ABS(F73)&lt;0.005,"PASS","REVIEW")</f>
        <v>PASS</v>
      </c>
    </row>
    <row r="74" customFormat="false" ht="15" hidden="false" customHeight="false" outlineLevel="0" collapsed="false">
      <c r="A74" s="18" t="n">
        <v>71</v>
      </c>
      <c r="B74" s="4" t="s">
        <v>35</v>
      </c>
      <c r="C74" s="3" t="s">
        <v>170</v>
      </c>
      <c r="D74" s="15" t="n">
        <f aca="false">Funded!C58</f>
        <v>-1678631.31</v>
      </c>
      <c r="E74" s="15" t="n">
        <f aca="false">Funded!C59</f>
        <v>-1678631.31</v>
      </c>
      <c r="F74" s="15" t="n">
        <f aca="false">ROUND(E74-D74,2)</f>
        <v>0</v>
      </c>
      <c r="G74" s="2" t="str">
        <f aca="false">IF(ABS(F74)&lt;0.005,"PASS","REVIEW")</f>
        <v>PASS</v>
      </c>
    </row>
    <row r="75" customFormat="false" ht="15" hidden="false" customHeight="false" outlineLevel="0" collapsed="false">
      <c r="A75" s="18" t="n">
        <v>72</v>
      </c>
      <c r="B75" s="4" t="s">
        <v>35</v>
      </c>
      <c r="C75" s="3" t="s">
        <v>171</v>
      </c>
      <c r="D75" s="15" t="n">
        <f aca="false">Funded!D58</f>
        <v>-1213.82</v>
      </c>
      <c r="E75" s="15" t="n">
        <f aca="false">Funded!D59</f>
        <v>-1213.82</v>
      </c>
      <c r="F75" s="15" t="n">
        <f aca="false">ROUND(E75-D75,2)</f>
        <v>0</v>
      </c>
      <c r="G75" s="2" t="str">
        <f aca="false">IF(ABS(F75)&lt;0.005,"PASS","REVIEW")</f>
        <v>PASS</v>
      </c>
    </row>
    <row r="76" customFormat="false" ht="15" hidden="false" customHeight="false" outlineLevel="0" collapsed="false">
      <c r="A76" s="18" t="n">
        <v>73</v>
      </c>
      <c r="B76" s="4" t="s">
        <v>35</v>
      </c>
      <c r="C76" s="3" t="s">
        <v>172</v>
      </c>
      <c r="D76" s="15" t="n">
        <f aca="false">Funded!E58</f>
        <v>0</v>
      </c>
      <c r="E76" s="15" t="n">
        <f aca="false">Funded!E59</f>
        <v>0</v>
      </c>
      <c r="F76" s="15" t="n">
        <f aca="false">ROUND(E76-D76,2)</f>
        <v>0</v>
      </c>
      <c r="G76" s="2" t="str">
        <f aca="false">IF(ABS(F76)&lt;0.005,"PASS","REVIEW")</f>
        <v>PASS</v>
      </c>
    </row>
    <row r="77" customFormat="false" ht="15" hidden="false" customHeight="false" outlineLevel="0" collapsed="false">
      <c r="A77" s="18" t="n">
        <v>74</v>
      </c>
      <c r="B77" s="4" t="s">
        <v>35</v>
      </c>
      <c r="C77" s="3" t="s">
        <v>173</v>
      </c>
      <c r="D77" s="15" t="n">
        <f aca="false">Funded!F58</f>
        <v>-163012.13</v>
      </c>
      <c r="E77" s="15" t="n">
        <f aca="false">Funded!F59</f>
        <v>-163012.13</v>
      </c>
      <c r="F77" s="15" t="n">
        <f aca="false">ROUND(E77-D77,2)</f>
        <v>0</v>
      </c>
      <c r="G77" s="2" t="str">
        <f aca="false">IF(ABS(F77)&lt;0.005,"PASS","REVIEW")</f>
        <v>PASS</v>
      </c>
    </row>
    <row r="78" customFormat="false" ht="15" hidden="false" customHeight="false" outlineLevel="0" collapsed="false">
      <c r="A78" s="18" t="n">
        <v>75</v>
      </c>
      <c r="B78" s="4" t="s">
        <v>35</v>
      </c>
      <c r="C78" s="3" t="s">
        <v>174</v>
      </c>
      <c r="D78" s="15" t="n">
        <f aca="false">Funded!H58</f>
        <v>7137351.92</v>
      </c>
      <c r="E78" s="15" t="n">
        <f aca="false">Funded!H59</f>
        <v>7137351.92</v>
      </c>
      <c r="F78" s="15" t="n">
        <f aca="false">ROUND(E78-D78,2)</f>
        <v>0</v>
      </c>
      <c r="G78" s="2" t="str">
        <f aca="false">IF(ABS(F78)&lt;0.005,"PASS","REVIEW")</f>
        <v>PASS</v>
      </c>
    </row>
    <row r="79" customFormat="false" ht="15" hidden="false" customHeight="false" outlineLevel="0" collapsed="false">
      <c r="A79" s="18" t="n">
        <v>76</v>
      </c>
      <c r="B79" s="4" t="s">
        <v>35</v>
      </c>
      <c r="C79" s="3" t="s">
        <v>175</v>
      </c>
      <c r="D79" s="15" t="n">
        <v>0</v>
      </c>
      <c r="E79" s="15" t="n">
        <f aca="false">SUMPRODUCT(ABS(Funded!I4:I57))</f>
        <v>0</v>
      </c>
      <c r="F79" s="15" t="n">
        <f aca="false">ROUND(E79-D79,2)</f>
        <v>0</v>
      </c>
      <c r="G79" s="2" t="str">
        <f aca="false">IF(ABS(F79)&lt;0.005,"PASS","REVIEW")</f>
        <v>PASS</v>
      </c>
    </row>
    <row r="80" customFormat="false" ht="15" hidden="false" customHeight="false" outlineLevel="0" collapsed="false">
      <c r="A80" s="18" t="n">
        <v>77</v>
      </c>
      <c r="B80" s="4" t="s">
        <v>35</v>
      </c>
      <c r="C80" s="3" t="s">
        <v>176</v>
      </c>
      <c r="D80" s="15" t="n">
        <v>0</v>
      </c>
      <c r="E80" s="15" t="n">
        <f aca="false">ABS(Funded!B59-Summary!B16)+ABS(Funded!C59-Summary!B17)+ABS(Funded!D59-Summary!B18)</f>
        <v>0</v>
      </c>
      <c r="F80" s="15" t="n">
        <f aca="false">ROUND(E80-D80,2)</f>
        <v>0</v>
      </c>
      <c r="G80" s="2" t="str">
        <f aca="false">IF(ABS(F80)&lt;0.005,"PASS","REVIEW")</f>
        <v>PASS</v>
      </c>
    </row>
    <row r="81" customFormat="false" ht="23.85" hidden="false" customHeight="false" outlineLevel="0" collapsed="false">
      <c r="A81" s="18" t="n">
        <v>78</v>
      </c>
      <c r="B81" s="4" t="s">
        <v>35</v>
      </c>
      <c r="C81" s="3" t="s">
        <v>177</v>
      </c>
      <c r="D81" s="15" t="n">
        <f aca="false">Daily!F35-Funded!F59</f>
        <v>-7245.91</v>
      </c>
      <c r="E81" s="15" t="n">
        <f aca="false">Summary!B21-Funded!H59</f>
        <v>-7245.91000000015</v>
      </c>
      <c r="F81" s="15" t="n">
        <f aca="false">ROUND(E81-D81,2)</f>
        <v>-0</v>
      </c>
      <c r="G81" s="2" t="str">
        <f aca="false">IF(ABS(F81)&lt;0.005,"PASS","REVIEW")</f>
        <v>PASS</v>
      </c>
    </row>
    <row r="83" customFormat="false" ht="15" hidden="false" customHeight="false" outlineLevel="0" collapsed="false">
      <c r="C83" s="2" t="s">
        <v>178</v>
      </c>
      <c r="E83" s="20" t="n">
        <f aca="false">COUNTIF(G4:G81,"PASS")</f>
        <v>77</v>
      </c>
    </row>
    <row r="84" customFormat="false" ht="15" hidden="false" customHeight="false" outlineLevel="0" collapsed="false">
      <c r="C84" s="2" t="s">
        <v>179</v>
      </c>
      <c r="E84" s="20" t="n">
        <f aca="false">COUNTIF(G4:G81,"REVIEW")</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18"/>
    <col collapsed="false" customWidth="true" hidden="false" outlineLevel="0" max="4" min="4" style="0" width="60"/>
    <col collapsed="false" customWidth="true" hidden="false" outlineLevel="0" max="6" min="5" style="0" width="52"/>
  </cols>
  <sheetData>
    <row r="1" customFormat="false" ht="17.35" hidden="false" customHeight="false" outlineLevel="0" collapsed="false">
      <c r="A1" s="1" t="s">
        <v>180</v>
      </c>
    </row>
    <row r="3" customFormat="false" ht="30" hidden="false" customHeight="true" outlineLevel="0" collapsed="false">
      <c r="A3" s="13" t="s">
        <v>94</v>
      </c>
      <c r="B3" s="13" t="s">
        <v>181</v>
      </c>
      <c r="C3" s="13" t="s">
        <v>95</v>
      </c>
      <c r="D3" s="13" t="s">
        <v>182</v>
      </c>
      <c r="E3" s="13" t="s">
        <v>183</v>
      </c>
      <c r="F3" s="13" t="s">
        <v>184</v>
      </c>
    </row>
    <row r="4" customFormat="false" ht="35.05" hidden="false" customHeight="false" outlineLevel="0" collapsed="false">
      <c r="A4" s="18" t="n">
        <v>1</v>
      </c>
      <c r="B4" s="3" t="s">
        <v>185</v>
      </c>
      <c r="C4" s="3" t="s">
        <v>186</v>
      </c>
      <c r="D4" s="3" t="s">
        <v>187</v>
      </c>
      <c r="E4" s="3" t="s">
        <v>188</v>
      </c>
      <c r="F4" s="3" t="s">
        <v>189</v>
      </c>
    </row>
    <row r="5" customFormat="false" ht="23.85" hidden="false" customHeight="false" outlineLevel="0" collapsed="false">
      <c r="A5" s="18" t="n">
        <v>2</v>
      </c>
      <c r="B5" s="3" t="s">
        <v>185</v>
      </c>
      <c r="C5" s="3" t="s">
        <v>186</v>
      </c>
      <c r="D5" s="3" t="s">
        <v>190</v>
      </c>
      <c r="E5" s="3" t="s">
        <v>191</v>
      </c>
      <c r="F5" s="3" t="s">
        <v>192</v>
      </c>
    </row>
    <row r="6" customFormat="false" ht="35.05" hidden="false" customHeight="false" outlineLevel="0" collapsed="false">
      <c r="A6" s="18" t="n">
        <v>3</v>
      </c>
      <c r="B6" s="3" t="s">
        <v>185</v>
      </c>
      <c r="C6" s="3" t="s">
        <v>193</v>
      </c>
      <c r="D6" s="3" t="s">
        <v>194</v>
      </c>
      <c r="E6" s="3" t="s">
        <v>195</v>
      </c>
      <c r="F6" s="3" t="s">
        <v>196</v>
      </c>
    </row>
    <row r="7" customFormat="false" ht="35.05" hidden="false" customHeight="false" outlineLevel="0" collapsed="false">
      <c r="A7" s="18" t="n">
        <v>4</v>
      </c>
      <c r="B7" s="3" t="s">
        <v>185</v>
      </c>
      <c r="C7" s="3" t="s">
        <v>197</v>
      </c>
      <c r="D7" s="3" t="s">
        <v>198</v>
      </c>
      <c r="E7" s="3" t="s">
        <v>199</v>
      </c>
      <c r="F7" s="3" t="s">
        <v>200</v>
      </c>
    </row>
    <row r="8" customFormat="false" ht="35.05" hidden="false" customHeight="false" outlineLevel="0" collapsed="false">
      <c r="A8" s="18" t="n">
        <v>5</v>
      </c>
      <c r="B8" s="3" t="s">
        <v>185</v>
      </c>
      <c r="C8" s="3" t="s">
        <v>193</v>
      </c>
      <c r="D8" s="3" t="s">
        <v>201</v>
      </c>
      <c r="E8" s="3" t="s">
        <v>202</v>
      </c>
      <c r="F8" s="3" t="s">
        <v>203</v>
      </c>
    </row>
    <row r="9" customFormat="false" ht="35.05" hidden="false" customHeight="false" outlineLevel="0" collapsed="false">
      <c r="A9" s="18" t="n">
        <v>6</v>
      </c>
      <c r="B9" s="3" t="s">
        <v>185</v>
      </c>
      <c r="C9" s="3" t="s">
        <v>204</v>
      </c>
      <c r="D9" s="3" t="s">
        <v>205</v>
      </c>
      <c r="E9" s="3" t="s">
        <v>206</v>
      </c>
      <c r="F9" s="3" t="s">
        <v>207</v>
      </c>
    </row>
    <row r="10" customFormat="false" ht="35.05" hidden="false" customHeight="false" outlineLevel="0" collapsed="false">
      <c r="A10" s="18" t="n">
        <v>7</v>
      </c>
      <c r="B10" s="3" t="s">
        <v>185</v>
      </c>
      <c r="C10" s="3" t="s">
        <v>208</v>
      </c>
      <c r="D10" s="3" t="s">
        <v>209</v>
      </c>
      <c r="E10" s="3" t="s">
        <v>210</v>
      </c>
      <c r="F10" s="3" t="s">
        <v>211</v>
      </c>
    </row>
    <row r="11" customFormat="false" ht="79.85" hidden="false" customHeight="false" outlineLevel="0" collapsed="false">
      <c r="A11" s="18" t="n">
        <v>8</v>
      </c>
      <c r="B11" s="3" t="s">
        <v>185</v>
      </c>
      <c r="C11" s="3" t="s">
        <v>212</v>
      </c>
      <c r="D11" s="3" t="s">
        <v>213</v>
      </c>
      <c r="E11" s="3" t="s">
        <v>214</v>
      </c>
      <c r="F11" s="3" t="s">
        <v>215</v>
      </c>
    </row>
    <row r="12" customFormat="false" ht="68.65" hidden="false" customHeight="false" outlineLevel="0" collapsed="false">
      <c r="A12" s="18" t="n">
        <v>9</v>
      </c>
      <c r="B12" s="3" t="s">
        <v>185</v>
      </c>
      <c r="C12" s="3" t="s">
        <v>216</v>
      </c>
      <c r="D12" s="3" t="s">
        <v>217</v>
      </c>
      <c r="E12" s="3" t="s">
        <v>218</v>
      </c>
      <c r="F12" s="3" t="s">
        <v>219</v>
      </c>
    </row>
    <row r="13" customFormat="false" ht="46.25" hidden="false" customHeight="false" outlineLevel="0" collapsed="false">
      <c r="A13" s="18" t="n">
        <v>10</v>
      </c>
      <c r="B13" s="3" t="s">
        <v>185</v>
      </c>
      <c r="C13" s="3" t="s">
        <v>220</v>
      </c>
      <c r="D13" s="3" t="s">
        <v>221</v>
      </c>
      <c r="E13" s="3" t="s">
        <v>222</v>
      </c>
      <c r="F13" s="3" t="s">
        <v>223</v>
      </c>
    </row>
    <row r="14" customFormat="false" ht="57.45" hidden="false" customHeight="false" outlineLevel="0" collapsed="false">
      <c r="A14" s="18" t="n">
        <v>11</v>
      </c>
      <c r="B14" s="3" t="s">
        <v>185</v>
      </c>
      <c r="C14" s="3" t="s">
        <v>224</v>
      </c>
      <c r="D14" s="3" t="s">
        <v>225</v>
      </c>
      <c r="E14" s="3" t="s">
        <v>226</v>
      </c>
      <c r="F14" s="3" t="s">
        <v>227</v>
      </c>
    </row>
    <row r="15" customFormat="false" ht="35.05" hidden="false" customHeight="false" outlineLevel="0" collapsed="false">
      <c r="A15" s="18" t="n">
        <v>12</v>
      </c>
      <c r="B15" s="3" t="s">
        <v>228</v>
      </c>
      <c r="C15" s="3" t="s">
        <v>33</v>
      </c>
      <c r="D15" s="3" t="s">
        <v>229</v>
      </c>
      <c r="E15" s="3" t="s">
        <v>230</v>
      </c>
      <c r="F15" s="3" t="s">
        <v>231</v>
      </c>
    </row>
    <row r="16" customFormat="false" ht="23.85" hidden="false" customHeight="false" outlineLevel="0" collapsed="false">
      <c r="A16" s="18" t="n">
        <v>13</v>
      </c>
      <c r="B16" s="3" t="s">
        <v>228</v>
      </c>
      <c r="C16" s="3" t="s">
        <v>33</v>
      </c>
      <c r="D16" s="3" t="s">
        <v>232</v>
      </c>
      <c r="E16" s="3" t="s">
        <v>233</v>
      </c>
      <c r="F16" s="3" t="s">
        <v>234</v>
      </c>
    </row>
    <row r="17" customFormat="false" ht="23.85" hidden="false" customHeight="false" outlineLevel="0" collapsed="false">
      <c r="A17" s="18" t="n">
        <v>14</v>
      </c>
      <c r="B17" s="3" t="s">
        <v>228</v>
      </c>
      <c r="C17" s="3" t="s">
        <v>33</v>
      </c>
      <c r="D17" s="3" t="s">
        <v>235</v>
      </c>
      <c r="E17" s="3" t="s">
        <v>236</v>
      </c>
      <c r="F17" s="3" t="s">
        <v>234</v>
      </c>
    </row>
    <row r="18" customFormat="false" ht="57.45" hidden="false" customHeight="false" outlineLevel="0" collapsed="false">
      <c r="A18" s="18" t="n">
        <v>15</v>
      </c>
      <c r="B18" s="3" t="s">
        <v>237</v>
      </c>
      <c r="C18" s="3" t="s">
        <v>238</v>
      </c>
      <c r="D18" s="3" t="s">
        <v>239</v>
      </c>
      <c r="E18" s="3" t="s">
        <v>240</v>
      </c>
      <c r="F18" s="3" t="s">
        <v>241</v>
      </c>
    </row>
    <row r="19" customFormat="false" ht="35.05" hidden="false" customHeight="false" outlineLevel="0" collapsed="false">
      <c r="A19" s="18" t="n">
        <v>16</v>
      </c>
      <c r="B19" s="3" t="s">
        <v>237</v>
      </c>
      <c r="C19" s="3" t="s">
        <v>9</v>
      </c>
      <c r="D19" s="3" t="s">
        <v>242</v>
      </c>
      <c r="E19" s="3"/>
      <c r="F19" s="3" t="s">
        <v>243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8"/>
    <col collapsed="false" customWidth="true" hidden="false" outlineLevel="0" max="3" min="3" style="0" width="16"/>
    <col collapsed="false" customWidth="true" hidden="false" outlineLevel="0" max="6" min="4" style="0" width="14"/>
    <col collapsed="false" customWidth="true" hidden="false" outlineLevel="0" max="7" min="7" style="0" width="18"/>
    <col collapsed="false" customWidth="true" hidden="false" outlineLevel="0" max="9" min="8" style="0" width="16"/>
  </cols>
  <sheetData>
    <row r="1" customFormat="false" ht="17.35" hidden="false" customHeight="false" outlineLevel="0" collapsed="false">
      <c r="A1" s="1" t="s">
        <v>186</v>
      </c>
    </row>
    <row r="2" customFormat="false" ht="15" hidden="false" customHeight="false" outlineLevel="0" collapsed="false">
      <c r="A2" s="8" t="s">
        <v>244</v>
      </c>
    </row>
    <row r="3" customFormat="false" ht="30" hidden="false" customHeight="true" outlineLevel="0" collapsed="false">
      <c r="A3" s="13" t="s">
        <v>245</v>
      </c>
      <c r="B3" s="13" t="s">
        <v>68</v>
      </c>
      <c r="C3" s="13" t="s">
        <v>69</v>
      </c>
      <c r="D3" s="13" t="s">
        <v>27</v>
      </c>
      <c r="E3" s="13" t="s">
        <v>70</v>
      </c>
      <c r="F3" s="13" t="s">
        <v>71</v>
      </c>
      <c r="G3" s="13" t="s">
        <v>246</v>
      </c>
      <c r="H3" s="13" t="s">
        <v>247</v>
      </c>
      <c r="I3" s="13" t="s">
        <v>248</v>
      </c>
    </row>
    <row r="4" customFormat="false" ht="15" hidden="false" customHeight="false" outlineLevel="0" collapsed="false">
      <c r="A4" s="21" t="n">
        <v>46203</v>
      </c>
      <c r="B4" s="15" t="n">
        <v>509561.75</v>
      </c>
      <c r="C4" s="15" t="n">
        <v>-118230.89</v>
      </c>
      <c r="D4" s="15" t="n">
        <v>0</v>
      </c>
      <c r="E4" s="15" t="n">
        <v>0</v>
      </c>
      <c r="F4" s="15" t="n">
        <v>0</v>
      </c>
      <c r="G4" s="15" t="n">
        <v>391330.86</v>
      </c>
      <c r="H4" s="15" t="n">
        <f aca="false">ROUND(SUM(B4:F4)-G4,2)</f>
        <v>0</v>
      </c>
      <c r="I4" s="15" t="n">
        <f aca="false">ROUND(ABS(SUMIFS(Funded!$B$4:$B$57,Funded!$A$4:$A$57,$A4)-B4)+ABS(SUMIFS(Funded!$C$4:$C$57,Funded!$A$4:$A$57,$A4)-C4)+ABS(SUMIFS(Funded!$D$4:$D$57,Funded!$A$4:$A$57,$A4)-D4)+ABS(SUMIFS(Funded!$E$4:$E$57,Funded!$A$4:$A$57,$A4)-E4),2)</f>
        <v>0</v>
      </c>
    </row>
    <row r="5" customFormat="false" ht="15" hidden="false" customHeight="false" outlineLevel="0" collapsed="false">
      <c r="A5" s="21" t="n">
        <v>46204</v>
      </c>
      <c r="B5" s="15" t="n">
        <v>420610.31</v>
      </c>
      <c r="C5" s="15" t="n">
        <v>-55478.76</v>
      </c>
      <c r="D5" s="15" t="n">
        <v>-1213.82</v>
      </c>
      <c r="E5" s="15" t="n">
        <v>0</v>
      </c>
      <c r="F5" s="15" t="n">
        <v>0</v>
      </c>
      <c r="G5" s="15" t="n">
        <v>363917.73</v>
      </c>
      <c r="H5" s="15" t="n">
        <f aca="false">ROUND(SUM(B5:F5)-G5,2)</f>
        <v>0</v>
      </c>
      <c r="I5" s="15" t="n">
        <f aca="false">ROUND(ABS(SUMIFS(Funded!$B$4:$B$57,Funded!$A$4:$A$57,$A5)-B5)+ABS(SUMIFS(Funded!$C$4:$C$57,Funded!$A$4:$A$57,$A5)-C5)+ABS(SUMIFS(Funded!$D$4:$D$57,Funded!$A$4:$A$57,$A5)-D5)+ABS(SUMIFS(Funded!$E$4:$E$57,Funded!$A$4:$A$57,$A5)-E5),2)</f>
        <v>0</v>
      </c>
    </row>
    <row r="6" customFormat="false" ht="15" hidden="false" customHeight="false" outlineLevel="0" collapsed="false">
      <c r="A6" s="21" t="n">
        <v>46205</v>
      </c>
      <c r="B6" s="15" t="n">
        <v>475682.04</v>
      </c>
      <c r="C6" s="15" t="n">
        <v>-97077.08</v>
      </c>
      <c r="D6" s="15" t="n">
        <v>0</v>
      </c>
      <c r="E6" s="15" t="n">
        <v>0</v>
      </c>
      <c r="F6" s="15" t="n">
        <v>0</v>
      </c>
      <c r="G6" s="15" t="n">
        <v>378604.96</v>
      </c>
      <c r="H6" s="15" t="n">
        <f aca="false">ROUND(SUM(B6:F6)-G6,2)</f>
        <v>0</v>
      </c>
      <c r="I6" s="15" t="n">
        <f aca="false">ROUND(ABS(SUMIFS(Funded!$B$4:$B$57,Funded!$A$4:$A$57,$A6)-B6)+ABS(SUMIFS(Funded!$C$4:$C$57,Funded!$A$4:$A$57,$A6)-C6)+ABS(SUMIFS(Funded!$D$4:$D$57,Funded!$A$4:$A$57,$A6)-D6)+ABS(SUMIFS(Funded!$E$4:$E$57,Funded!$A$4:$A$57,$A6)-E6),2)</f>
        <v>0</v>
      </c>
    </row>
    <row r="7" customFormat="false" ht="15" hidden="false" customHeight="false" outlineLevel="0" collapsed="false">
      <c r="A7" s="21" t="n">
        <v>46206</v>
      </c>
      <c r="B7" s="15" t="n">
        <v>136800.78</v>
      </c>
      <c r="C7" s="15" t="n">
        <v>-21544.12</v>
      </c>
      <c r="D7" s="15" t="n">
        <v>0</v>
      </c>
      <c r="E7" s="15" t="n">
        <v>0</v>
      </c>
      <c r="F7" s="15" t="n">
        <v>0</v>
      </c>
      <c r="G7" s="15" t="n">
        <v>115256.66</v>
      </c>
      <c r="H7" s="15" t="n">
        <f aca="false">ROUND(SUM(B7:F7)-G7,2)</f>
        <v>0</v>
      </c>
      <c r="I7" s="15" t="n">
        <f aca="false">ROUND(ABS(SUMIFS(Funded!$B$4:$B$57,Funded!$A$4:$A$57,$A7)-B7)+ABS(SUMIFS(Funded!$C$4:$C$57,Funded!$A$4:$A$57,$A7)-C7)+ABS(SUMIFS(Funded!$D$4:$D$57,Funded!$A$4:$A$57,$A7)-D7)+ABS(SUMIFS(Funded!$E$4:$E$57,Funded!$A$4:$A$57,$A7)-E7),2)</f>
        <v>0</v>
      </c>
    </row>
    <row r="8" customFormat="false" ht="15" hidden="false" customHeight="false" outlineLevel="0" collapsed="false">
      <c r="A8" s="21" t="n">
        <v>46207</v>
      </c>
      <c r="B8" s="15" t="n">
        <v>-395.25</v>
      </c>
      <c r="C8" s="15" t="n">
        <v>-1965.52</v>
      </c>
      <c r="D8" s="15" t="n">
        <v>0</v>
      </c>
      <c r="E8" s="15" t="n">
        <v>0</v>
      </c>
      <c r="F8" s="15" t="n">
        <v>0</v>
      </c>
      <c r="G8" s="15" t="n">
        <v>-2360.77</v>
      </c>
      <c r="H8" s="15" t="n">
        <f aca="false">ROUND(SUM(B8:F8)-G8,2)</f>
        <v>0</v>
      </c>
      <c r="I8" s="15" t="n">
        <f aca="false">ROUND(ABS(SUMIFS(Funded!$B$4:$B$57,Funded!$A$4:$A$57,$A8)-B8)+ABS(SUMIFS(Funded!$C$4:$C$57,Funded!$A$4:$A$57,$A8)-C8)+ABS(SUMIFS(Funded!$D$4:$D$57,Funded!$A$4:$A$57,$A8)-D8)+ABS(SUMIFS(Funded!$E$4:$E$57,Funded!$A$4:$A$57,$A8)-E8),2)</f>
        <v>0</v>
      </c>
    </row>
    <row r="9" customFormat="false" ht="15" hidden="false" customHeight="false" outlineLevel="0" collapsed="false">
      <c r="A9" s="21" t="n">
        <v>46208</v>
      </c>
      <c r="B9" s="15" t="n">
        <v>1818.92</v>
      </c>
      <c r="C9" s="15" t="n">
        <v>0</v>
      </c>
      <c r="D9" s="15" t="n">
        <v>0</v>
      </c>
      <c r="E9" s="15" t="n">
        <v>0</v>
      </c>
      <c r="F9" s="15" t="n">
        <v>0</v>
      </c>
      <c r="G9" s="15" t="n">
        <v>1818.92</v>
      </c>
      <c r="H9" s="15" t="n">
        <f aca="false">ROUND(SUM(B9:F9)-G9,2)</f>
        <v>0</v>
      </c>
      <c r="I9" s="15" t="n">
        <f aca="false">ROUND(ABS(SUMIFS(Funded!$B$4:$B$57,Funded!$A$4:$A$57,$A9)-B9)+ABS(SUMIFS(Funded!$C$4:$C$57,Funded!$A$4:$A$57,$A9)-C9)+ABS(SUMIFS(Funded!$D$4:$D$57,Funded!$A$4:$A$57,$A9)-D9)+ABS(SUMIFS(Funded!$E$4:$E$57,Funded!$A$4:$A$57,$A9)-E9),2)</f>
        <v>0</v>
      </c>
    </row>
    <row r="10" customFormat="false" ht="15" hidden="false" customHeight="false" outlineLevel="0" collapsed="false">
      <c r="A10" s="21" t="n">
        <v>46209</v>
      </c>
      <c r="B10" s="15" t="n">
        <v>368117.09</v>
      </c>
      <c r="C10" s="15" t="n">
        <v>-63882.42</v>
      </c>
      <c r="D10" s="15" t="n">
        <v>0</v>
      </c>
      <c r="E10" s="15" t="n">
        <v>0</v>
      </c>
      <c r="F10" s="15" t="n">
        <v>0</v>
      </c>
      <c r="G10" s="15" t="n">
        <v>304234.67</v>
      </c>
      <c r="H10" s="15" t="n">
        <f aca="false">ROUND(SUM(B10:F10)-G10,2)</f>
        <v>0</v>
      </c>
      <c r="I10" s="15" t="n">
        <f aca="false">ROUND(ABS(SUMIFS(Funded!$B$4:$B$57,Funded!$A$4:$A$57,$A10)-B10)+ABS(SUMIFS(Funded!$C$4:$C$57,Funded!$A$4:$A$57,$A10)-C10)+ABS(SUMIFS(Funded!$D$4:$D$57,Funded!$A$4:$A$57,$A10)-D10)+ABS(SUMIFS(Funded!$E$4:$E$57,Funded!$A$4:$A$57,$A10)-E10),2)</f>
        <v>0</v>
      </c>
    </row>
    <row r="11" customFormat="false" ht="15" hidden="false" customHeight="false" outlineLevel="0" collapsed="false">
      <c r="A11" s="21" t="n">
        <v>46210</v>
      </c>
      <c r="B11" s="15" t="n">
        <v>428727.25</v>
      </c>
      <c r="C11" s="15" t="n">
        <v>-89809.19</v>
      </c>
      <c r="D11" s="15" t="n">
        <v>0</v>
      </c>
      <c r="E11" s="15" t="n">
        <v>0</v>
      </c>
      <c r="F11" s="15" t="n">
        <v>0</v>
      </c>
      <c r="G11" s="15" t="n">
        <v>338918.06</v>
      </c>
      <c r="H11" s="15" t="n">
        <f aca="false">ROUND(SUM(B11:F11)-G11,2)</f>
        <v>0</v>
      </c>
      <c r="I11" s="15" t="n">
        <f aca="false">ROUND(ABS(SUMIFS(Funded!$B$4:$B$57,Funded!$A$4:$A$57,$A11)-B11)+ABS(SUMIFS(Funded!$C$4:$C$57,Funded!$A$4:$A$57,$A11)-C11)+ABS(SUMIFS(Funded!$D$4:$D$57,Funded!$A$4:$A$57,$A11)-D11)+ABS(SUMIFS(Funded!$E$4:$E$57,Funded!$A$4:$A$57,$A11)-E11),2)</f>
        <v>0</v>
      </c>
    </row>
    <row r="12" customFormat="false" ht="15" hidden="false" customHeight="false" outlineLevel="0" collapsed="false">
      <c r="A12" s="21" t="n">
        <v>46211</v>
      </c>
      <c r="B12" s="15" t="n">
        <v>452197.88</v>
      </c>
      <c r="C12" s="15" t="n">
        <v>-76864.6</v>
      </c>
      <c r="D12" s="15" t="n">
        <v>0</v>
      </c>
      <c r="E12" s="15" t="n">
        <v>0</v>
      </c>
      <c r="F12" s="15" t="n">
        <v>0</v>
      </c>
      <c r="G12" s="15" t="n">
        <v>375333.28</v>
      </c>
      <c r="H12" s="15" t="n">
        <f aca="false">ROUND(SUM(B12:F12)-G12,2)</f>
        <v>0</v>
      </c>
      <c r="I12" s="15" t="n">
        <f aca="false">ROUND(ABS(SUMIFS(Funded!$B$4:$B$57,Funded!$A$4:$A$57,$A12)-B12)+ABS(SUMIFS(Funded!$C$4:$C$57,Funded!$A$4:$A$57,$A12)-C12)+ABS(SUMIFS(Funded!$D$4:$D$57,Funded!$A$4:$A$57,$A12)-D12)+ABS(SUMIFS(Funded!$E$4:$E$57,Funded!$A$4:$A$57,$A12)-E12),2)</f>
        <v>0</v>
      </c>
    </row>
    <row r="13" customFormat="false" ht="15" hidden="false" customHeight="false" outlineLevel="0" collapsed="false">
      <c r="A13" s="21" t="n">
        <v>46212</v>
      </c>
      <c r="B13" s="15" t="n">
        <v>481718.91</v>
      </c>
      <c r="C13" s="15" t="n">
        <v>-61209.25</v>
      </c>
      <c r="D13" s="15" t="n">
        <v>0</v>
      </c>
      <c r="E13" s="15" t="n">
        <v>0</v>
      </c>
      <c r="F13" s="15" t="n">
        <v>0</v>
      </c>
      <c r="G13" s="15" t="n">
        <v>420509.66</v>
      </c>
      <c r="H13" s="15" t="n">
        <f aca="false">ROUND(SUM(B13:F13)-G13,2)</f>
        <v>0</v>
      </c>
      <c r="I13" s="15" t="n">
        <f aca="false">ROUND(ABS(SUMIFS(Funded!$B$4:$B$57,Funded!$A$4:$A$57,$A13)-B13)+ABS(SUMIFS(Funded!$C$4:$C$57,Funded!$A$4:$A$57,$A13)-C13)+ABS(SUMIFS(Funded!$D$4:$D$57,Funded!$A$4:$A$57,$A13)-D13)+ABS(SUMIFS(Funded!$E$4:$E$57,Funded!$A$4:$A$57,$A13)-E13),2)</f>
        <v>0</v>
      </c>
    </row>
    <row r="14" customFormat="false" ht="15" hidden="false" customHeight="false" outlineLevel="0" collapsed="false">
      <c r="A14" s="21" t="n">
        <v>46213</v>
      </c>
      <c r="B14" s="15" t="n">
        <v>465171.68</v>
      </c>
      <c r="C14" s="15" t="n">
        <v>-71684.68</v>
      </c>
      <c r="D14" s="15" t="n">
        <v>0</v>
      </c>
      <c r="E14" s="15" t="n">
        <v>0</v>
      </c>
      <c r="F14" s="15" t="n">
        <v>0</v>
      </c>
      <c r="G14" s="15" t="n">
        <v>393487</v>
      </c>
      <c r="H14" s="15" t="n">
        <f aca="false">ROUND(SUM(B14:F14)-G14,2)</f>
        <v>0</v>
      </c>
      <c r="I14" s="15" t="n">
        <f aca="false">ROUND(ABS(SUMIFS(Funded!$B$4:$B$57,Funded!$A$4:$A$57,$A14)-B14)+ABS(SUMIFS(Funded!$C$4:$C$57,Funded!$A$4:$A$57,$A14)-C14)+ABS(SUMIFS(Funded!$D$4:$D$57,Funded!$A$4:$A$57,$A14)-D14)+ABS(SUMIFS(Funded!$E$4:$E$57,Funded!$A$4:$A$57,$A14)-E14),2)</f>
        <v>0</v>
      </c>
    </row>
    <row r="15" customFormat="false" ht="15" hidden="false" customHeight="false" outlineLevel="0" collapsed="false">
      <c r="A15" s="21" t="n">
        <v>46214</v>
      </c>
      <c r="B15" s="15" t="n">
        <v>17460.37</v>
      </c>
      <c r="C15" s="15" t="n">
        <v>-1472.36</v>
      </c>
      <c r="D15" s="15" t="n">
        <v>0</v>
      </c>
      <c r="E15" s="15" t="n">
        <v>0</v>
      </c>
      <c r="F15" s="15" t="n">
        <v>0</v>
      </c>
      <c r="G15" s="15" t="n">
        <v>15988.01</v>
      </c>
      <c r="H15" s="15" t="n">
        <f aca="false">ROUND(SUM(B15:F15)-G15,2)</f>
        <v>0</v>
      </c>
      <c r="I15" s="15" t="n">
        <f aca="false">ROUND(ABS(SUMIFS(Funded!$B$4:$B$57,Funded!$A$4:$A$57,$A15)-B15)+ABS(SUMIFS(Funded!$C$4:$C$57,Funded!$A$4:$A$57,$A15)-C15)+ABS(SUMIFS(Funded!$D$4:$D$57,Funded!$A$4:$A$57,$A15)-D15)+ABS(SUMIFS(Funded!$E$4:$E$57,Funded!$A$4:$A$57,$A15)-E15),2)</f>
        <v>0</v>
      </c>
    </row>
    <row r="16" customFormat="false" ht="15" hidden="false" customHeight="false" outlineLevel="0" collapsed="false">
      <c r="A16" s="21" t="n">
        <v>46215</v>
      </c>
      <c r="B16" s="15" t="n">
        <v>22071.47</v>
      </c>
      <c r="C16" s="15" t="n">
        <v>0</v>
      </c>
      <c r="D16" s="15" t="n">
        <v>0</v>
      </c>
      <c r="E16" s="15" t="n">
        <v>0</v>
      </c>
      <c r="F16" s="15" t="n">
        <v>0</v>
      </c>
      <c r="G16" s="15" t="n">
        <v>22071.47</v>
      </c>
      <c r="H16" s="15" t="n">
        <f aca="false">ROUND(SUM(B16:F16)-G16,2)</f>
        <v>0</v>
      </c>
      <c r="I16" s="15" t="n">
        <f aca="false">ROUND(ABS(SUMIFS(Funded!$B$4:$B$57,Funded!$A$4:$A$57,$A16)-B16)+ABS(SUMIFS(Funded!$C$4:$C$57,Funded!$A$4:$A$57,$A16)-C16)+ABS(SUMIFS(Funded!$D$4:$D$57,Funded!$A$4:$A$57,$A16)-D16)+ABS(SUMIFS(Funded!$E$4:$E$57,Funded!$A$4:$A$57,$A16)-E16),2)</f>
        <v>0</v>
      </c>
    </row>
    <row r="17" customFormat="false" ht="15" hidden="false" customHeight="false" outlineLevel="0" collapsed="false">
      <c r="A17" s="21" t="n">
        <v>46216</v>
      </c>
      <c r="B17" s="15" t="n">
        <v>352195.26</v>
      </c>
      <c r="C17" s="15" t="n">
        <v>-89334.75</v>
      </c>
      <c r="D17" s="15" t="n">
        <v>0</v>
      </c>
      <c r="E17" s="15" t="n">
        <v>0</v>
      </c>
      <c r="F17" s="15" t="n">
        <v>0</v>
      </c>
      <c r="G17" s="15" t="n">
        <v>262860.51</v>
      </c>
      <c r="H17" s="15" t="n">
        <f aca="false">ROUND(SUM(B17:F17)-G17,2)</f>
        <v>0</v>
      </c>
      <c r="I17" s="15" t="n">
        <f aca="false">ROUND(ABS(SUMIFS(Funded!$B$4:$B$57,Funded!$A$4:$A$57,$A17)-B17)+ABS(SUMIFS(Funded!$C$4:$C$57,Funded!$A$4:$A$57,$A17)-C17)+ABS(SUMIFS(Funded!$D$4:$D$57,Funded!$A$4:$A$57,$A17)-D17)+ABS(SUMIFS(Funded!$E$4:$E$57,Funded!$A$4:$A$57,$A17)-E17),2)</f>
        <v>0</v>
      </c>
    </row>
    <row r="18" customFormat="false" ht="15" hidden="false" customHeight="false" outlineLevel="0" collapsed="false">
      <c r="A18" s="21" t="n">
        <v>46217</v>
      </c>
      <c r="B18" s="15" t="n">
        <v>366779.41</v>
      </c>
      <c r="C18" s="15" t="n">
        <v>-73056.7</v>
      </c>
      <c r="D18" s="15" t="n">
        <v>0</v>
      </c>
      <c r="E18" s="15" t="n">
        <v>0</v>
      </c>
      <c r="F18" s="15" t="n">
        <v>0</v>
      </c>
      <c r="G18" s="15" t="n">
        <v>293722.71</v>
      </c>
      <c r="H18" s="15" t="n">
        <f aca="false">ROUND(SUM(B18:F18)-G18,2)</f>
        <v>0</v>
      </c>
      <c r="I18" s="15" t="n">
        <f aca="false">ROUND(ABS(SUMIFS(Funded!$B$4:$B$57,Funded!$A$4:$A$57,$A18)-B18)+ABS(SUMIFS(Funded!$C$4:$C$57,Funded!$A$4:$A$57,$A18)-C18)+ABS(SUMIFS(Funded!$D$4:$D$57,Funded!$A$4:$A$57,$A18)-D18)+ABS(SUMIFS(Funded!$E$4:$E$57,Funded!$A$4:$A$57,$A18)-E18),2)</f>
        <v>0</v>
      </c>
    </row>
    <row r="19" customFormat="false" ht="15" hidden="false" customHeight="false" outlineLevel="0" collapsed="false">
      <c r="A19" s="21" t="n">
        <v>46218</v>
      </c>
      <c r="B19" s="15" t="n">
        <v>392851.04</v>
      </c>
      <c r="C19" s="15" t="n">
        <v>-71351.69</v>
      </c>
      <c r="D19" s="15" t="n">
        <v>0</v>
      </c>
      <c r="E19" s="15" t="n">
        <v>0</v>
      </c>
      <c r="F19" s="15" t="n">
        <v>0</v>
      </c>
      <c r="G19" s="15" t="n">
        <v>321499.35</v>
      </c>
      <c r="H19" s="15" t="n">
        <f aca="false">ROUND(SUM(B19:F19)-G19,2)</f>
        <v>0</v>
      </c>
      <c r="I19" s="15" t="n">
        <f aca="false">ROUND(ABS(SUMIFS(Funded!$B$4:$B$57,Funded!$A$4:$A$57,$A19)-B19)+ABS(SUMIFS(Funded!$C$4:$C$57,Funded!$A$4:$A$57,$A19)-C19)+ABS(SUMIFS(Funded!$D$4:$D$57,Funded!$A$4:$A$57,$A19)-D19)+ABS(SUMIFS(Funded!$E$4:$E$57,Funded!$A$4:$A$57,$A19)-E19),2)</f>
        <v>0</v>
      </c>
    </row>
    <row r="20" customFormat="false" ht="15" hidden="false" customHeight="false" outlineLevel="0" collapsed="false">
      <c r="A20" s="21" t="n">
        <v>46219</v>
      </c>
      <c r="B20" s="15" t="n">
        <v>308973.07</v>
      </c>
      <c r="C20" s="15" t="n">
        <v>-48595.76</v>
      </c>
      <c r="D20" s="15" t="n">
        <v>0</v>
      </c>
      <c r="E20" s="15" t="n">
        <v>0</v>
      </c>
      <c r="F20" s="15" t="n">
        <v>0</v>
      </c>
      <c r="G20" s="15" t="n">
        <v>260377.31</v>
      </c>
      <c r="H20" s="15" t="n">
        <f aca="false">ROUND(SUM(B20:F20)-G20,2)</f>
        <v>0</v>
      </c>
      <c r="I20" s="15" t="n">
        <f aca="false">ROUND(ABS(SUMIFS(Funded!$B$4:$B$57,Funded!$A$4:$A$57,$A20)-B20)+ABS(SUMIFS(Funded!$C$4:$C$57,Funded!$A$4:$A$57,$A20)-C20)+ABS(SUMIFS(Funded!$D$4:$D$57,Funded!$A$4:$A$57,$A20)-D20)+ABS(SUMIFS(Funded!$E$4:$E$57,Funded!$A$4:$A$57,$A20)-E20),2)</f>
        <v>0</v>
      </c>
    </row>
    <row r="21" customFormat="false" ht="15" hidden="false" customHeight="false" outlineLevel="0" collapsed="false">
      <c r="A21" s="21" t="n">
        <v>46220</v>
      </c>
      <c r="B21" s="15" t="n">
        <v>513290.72</v>
      </c>
      <c r="C21" s="15" t="n">
        <v>-119008.56</v>
      </c>
      <c r="D21" s="15" t="n">
        <v>0</v>
      </c>
      <c r="E21" s="15" t="n">
        <v>0</v>
      </c>
      <c r="F21" s="15" t="n">
        <v>0</v>
      </c>
      <c r="G21" s="15" t="n">
        <v>394282.16</v>
      </c>
      <c r="H21" s="15" t="n">
        <f aca="false">ROUND(SUM(B21:F21)-G21,2)</f>
        <v>0</v>
      </c>
      <c r="I21" s="15" t="n">
        <f aca="false">ROUND(ABS(SUMIFS(Funded!$B$4:$B$57,Funded!$A$4:$A$57,$A21)-B21)+ABS(SUMIFS(Funded!$C$4:$C$57,Funded!$A$4:$A$57,$A21)-C21)+ABS(SUMIFS(Funded!$D$4:$D$57,Funded!$A$4:$A$57,$A21)-D21)+ABS(SUMIFS(Funded!$E$4:$E$57,Funded!$A$4:$A$57,$A21)-E21),2)</f>
        <v>0</v>
      </c>
    </row>
    <row r="22" customFormat="false" ht="15" hidden="false" customHeight="false" outlineLevel="0" collapsed="false">
      <c r="A22" s="21" t="n">
        <v>46221</v>
      </c>
      <c r="B22" s="15" t="n">
        <v>78725.19</v>
      </c>
      <c r="C22" s="15" t="n">
        <v>0</v>
      </c>
      <c r="D22" s="15" t="n">
        <v>0</v>
      </c>
      <c r="E22" s="15" t="n">
        <v>0</v>
      </c>
      <c r="F22" s="15" t="n">
        <v>0</v>
      </c>
      <c r="G22" s="15" t="n">
        <v>78725.19</v>
      </c>
      <c r="H22" s="15" t="n">
        <f aca="false">ROUND(SUM(B22:F22)-G22,2)</f>
        <v>0</v>
      </c>
      <c r="I22" s="15" t="n">
        <f aca="false">ROUND(ABS(SUMIFS(Funded!$B$4:$B$57,Funded!$A$4:$A$57,$A22)-B22)+ABS(SUMIFS(Funded!$C$4:$C$57,Funded!$A$4:$A$57,$A22)-C22)+ABS(SUMIFS(Funded!$D$4:$D$57,Funded!$A$4:$A$57,$A22)-D22)+ABS(SUMIFS(Funded!$E$4:$E$57,Funded!$A$4:$A$57,$A22)-E22),2)</f>
        <v>0</v>
      </c>
    </row>
    <row r="23" customFormat="false" ht="15" hidden="false" customHeight="false" outlineLevel="0" collapsed="false">
      <c r="A23" s="21" t="n">
        <v>46222</v>
      </c>
      <c r="B23" s="15" t="n">
        <v>2854.4</v>
      </c>
      <c r="C23" s="15" t="n">
        <v>0</v>
      </c>
      <c r="D23" s="15" t="n">
        <v>0</v>
      </c>
      <c r="E23" s="15" t="n">
        <v>0</v>
      </c>
      <c r="F23" s="15" t="n">
        <v>0</v>
      </c>
      <c r="G23" s="15" t="n">
        <v>2854.4</v>
      </c>
      <c r="H23" s="15" t="n">
        <f aca="false">ROUND(SUM(B23:F23)-G23,2)</f>
        <v>0</v>
      </c>
      <c r="I23" s="15" t="n">
        <f aca="false">ROUND(ABS(SUMIFS(Funded!$B$4:$B$57,Funded!$A$4:$A$57,$A23)-B23)+ABS(SUMIFS(Funded!$C$4:$C$57,Funded!$A$4:$A$57,$A23)-C23)+ABS(SUMIFS(Funded!$D$4:$D$57,Funded!$A$4:$A$57,$A23)-D23)+ABS(SUMIFS(Funded!$E$4:$E$57,Funded!$A$4:$A$57,$A23)-E23),2)</f>
        <v>0</v>
      </c>
    </row>
    <row r="24" customFormat="false" ht="15" hidden="false" customHeight="false" outlineLevel="0" collapsed="false">
      <c r="A24" s="21" t="n">
        <v>46223</v>
      </c>
      <c r="B24" s="15" t="n">
        <v>330320.3</v>
      </c>
      <c r="C24" s="15" t="n">
        <v>-62157.92</v>
      </c>
      <c r="D24" s="15" t="n">
        <v>0</v>
      </c>
      <c r="E24" s="15" t="n">
        <v>0</v>
      </c>
      <c r="F24" s="15" t="n">
        <v>0</v>
      </c>
      <c r="G24" s="15" t="n">
        <v>268162.38</v>
      </c>
      <c r="H24" s="15" t="n">
        <f aca="false">ROUND(SUM(B24:F24)-G24,2)</f>
        <v>0</v>
      </c>
      <c r="I24" s="15" t="n">
        <f aca="false">ROUND(ABS(SUMIFS(Funded!$B$4:$B$57,Funded!$A$4:$A$57,$A24)-B24)+ABS(SUMIFS(Funded!$C$4:$C$57,Funded!$A$4:$A$57,$A24)-C24)+ABS(SUMIFS(Funded!$D$4:$D$57,Funded!$A$4:$A$57,$A24)-D24)+ABS(SUMIFS(Funded!$E$4:$E$57,Funded!$A$4:$A$57,$A24)-E24),2)</f>
        <v>0</v>
      </c>
    </row>
    <row r="25" customFormat="false" ht="15" hidden="false" customHeight="false" outlineLevel="0" collapsed="false">
      <c r="A25" s="21" t="n">
        <v>46224</v>
      </c>
      <c r="B25" s="15" t="n">
        <v>399974.42</v>
      </c>
      <c r="C25" s="15" t="n">
        <v>-94529.53</v>
      </c>
      <c r="D25" s="15" t="n">
        <v>0</v>
      </c>
      <c r="E25" s="15" t="n">
        <v>0</v>
      </c>
      <c r="F25" s="15" t="n">
        <v>0</v>
      </c>
      <c r="G25" s="15" t="n">
        <v>305444.89</v>
      </c>
      <c r="H25" s="15" t="n">
        <f aca="false">ROUND(SUM(B25:F25)-G25,2)</f>
        <v>0</v>
      </c>
      <c r="I25" s="15" t="n">
        <f aca="false">ROUND(ABS(SUMIFS(Funded!$B$4:$B$57,Funded!$A$4:$A$57,$A25)-B25)+ABS(SUMIFS(Funded!$C$4:$C$57,Funded!$A$4:$A$57,$A25)-C25)+ABS(SUMIFS(Funded!$D$4:$D$57,Funded!$A$4:$A$57,$A25)-D25)+ABS(SUMIFS(Funded!$E$4:$E$57,Funded!$A$4:$A$57,$A25)-E25),2)</f>
        <v>0</v>
      </c>
    </row>
    <row r="26" customFormat="false" ht="15" hidden="false" customHeight="false" outlineLevel="0" collapsed="false">
      <c r="A26" s="21" t="n">
        <v>46225</v>
      </c>
      <c r="B26" s="15" t="n">
        <v>325812.75</v>
      </c>
      <c r="C26" s="15" t="n">
        <v>-55304.5</v>
      </c>
      <c r="D26" s="15" t="n">
        <v>0</v>
      </c>
      <c r="E26" s="15" t="n">
        <v>0</v>
      </c>
      <c r="F26" s="15" t="n">
        <v>0</v>
      </c>
      <c r="G26" s="15" t="n">
        <v>270508.25</v>
      </c>
      <c r="H26" s="15" t="n">
        <f aca="false">ROUND(SUM(B26:F26)-G26,2)</f>
        <v>0</v>
      </c>
      <c r="I26" s="15" t="n">
        <f aca="false">ROUND(ABS(SUMIFS(Funded!$B$4:$B$57,Funded!$A$4:$A$57,$A26)-B26)+ABS(SUMIFS(Funded!$C$4:$C$57,Funded!$A$4:$A$57,$A26)-C26)+ABS(SUMIFS(Funded!$D$4:$D$57,Funded!$A$4:$A$57,$A26)-D26)+ABS(SUMIFS(Funded!$E$4:$E$57,Funded!$A$4:$A$57,$A26)-E26),2)</f>
        <v>0</v>
      </c>
    </row>
    <row r="27" customFormat="false" ht="15" hidden="false" customHeight="false" outlineLevel="0" collapsed="false">
      <c r="A27" s="21" t="n">
        <v>46226</v>
      </c>
      <c r="B27" s="15" t="n">
        <v>344808.1</v>
      </c>
      <c r="C27" s="15" t="n">
        <v>-65080.53</v>
      </c>
      <c r="D27" s="15" t="n">
        <v>0</v>
      </c>
      <c r="E27" s="15" t="n">
        <v>0</v>
      </c>
      <c r="F27" s="15" t="n">
        <v>0</v>
      </c>
      <c r="G27" s="15" t="n">
        <v>279727.57</v>
      </c>
      <c r="H27" s="15" t="n">
        <f aca="false">ROUND(SUM(B27:F27)-G27,2)</f>
        <v>0</v>
      </c>
      <c r="I27" s="15" t="n">
        <f aca="false">ROUND(ABS(SUMIFS(Funded!$B$4:$B$57,Funded!$A$4:$A$57,$A27)-B27)+ABS(SUMIFS(Funded!$C$4:$C$57,Funded!$A$4:$A$57,$A27)-C27)+ABS(SUMIFS(Funded!$D$4:$D$57,Funded!$A$4:$A$57,$A27)-D27)+ABS(SUMIFS(Funded!$E$4:$E$57,Funded!$A$4:$A$57,$A27)-E27),2)</f>
        <v>0</v>
      </c>
    </row>
    <row r="28" customFormat="false" ht="15" hidden="false" customHeight="false" outlineLevel="0" collapsed="false">
      <c r="A28" s="21" t="n">
        <v>46227</v>
      </c>
      <c r="B28" s="15" t="n">
        <v>372532.71</v>
      </c>
      <c r="C28" s="15" t="n">
        <v>-46774.19</v>
      </c>
      <c r="D28" s="15" t="n">
        <v>0</v>
      </c>
      <c r="E28" s="15" t="n">
        <v>0</v>
      </c>
      <c r="F28" s="15" t="n">
        <v>0</v>
      </c>
      <c r="G28" s="15" t="n">
        <v>325758.52</v>
      </c>
      <c r="H28" s="15" t="n">
        <f aca="false">ROUND(SUM(B28:F28)-G28,2)</f>
        <v>0</v>
      </c>
      <c r="I28" s="15" t="n">
        <f aca="false">ROUND(ABS(SUMIFS(Funded!$B$4:$B$57,Funded!$A$4:$A$57,$A28)-B28)+ABS(SUMIFS(Funded!$C$4:$C$57,Funded!$A$4:$A$57,$A28)-C28)+ABS(SUMIFS(Funded!$D$4:$D$57,Funded!$A$4:$A$57,$A28)-D28)+ABS(SUMIFS(Funded!$E$4:$E$57,Funded!$A$4:$A$57,$A28)-E28),2)</f>
        <v>0</v>
      </c>
    </row>
    <row r="29" customFormat="false" ht="15" hidden="false" customHeight="false" outlineLevel="0" collapsed="false">
      <c r="A29" s="21" t="n">
        <v>46228</v>
      </c>
      <c r="B29" s="15" t="n">
        <v>9870.36</v>
      </c>
      <c r="C29" s="15" t="n">
        <v>-1631.36</v>
      </c>
      <c r="D29" s="15" t="n">
        <v>0</v>
      </c>
      <c r="E29" s="15" t="n">
        <v>0</v>
      </c>
      <c r="F29" s="15" t="n">
        <v>0</v>
      </c>
      <c r="G29" s="15" t="n">
        <v>8239</v>
      </c>
      <c r="H29" s="15" t="n">
        <f aca="false">ROUND(SUM(B29:F29)-G29,2)</f>
        <v>0</v>
      </c>
      <c r="I29" s="15" t="n">
        <f aca="false">ROUND(ABS(SUMIFS(Funded!$B$4:$B$57,Funded!$A$4:$A$57,$A29)-B29)+ABS(SUMIFS(Funded!$C$4:$C$57,Funded!$A$4:$A$57,$A29)-C29)+ABS(SUMIFS(Funded!$D$4:$D$57,Funded!$A$4:$A$57,$A29)-D29)+ABS(SUMIFS(Funded!$E$4:$E$57,Funded!$A$4:$A$57,$A29)-E29),2)</f>
        <v>0</v>
      </c>
    </row>
    <row r="30" customFormat="false" ht="15" hidden="false" customHeight="false" outlineLevel="0" collapsed="false">
      <c r="A30" s="21" t="n">
        <v>46230</v>
      </c>
      <c r="B30" s="15" t="n">
        <v>476073.54</v>
      </c>
      <c r="C30" s="15" t="n">
        <v>-149057.39</v>
      </c>
      <c r="D30" s="15" t="n">
        <v>0</v>
      </c>
      <c r="E30" s="15" t="n">
        <v>0</v>
      </c>
      <c r="F30" s="15" t="n">
        <v>0</v>
      </c>
      <c r="G30" s="15" t="n">
        <v>327016.15</v>
      </c>
      <c r="H30" s="15" t="n">
        <f aca="false">ROUND(SUM(B30:F30)-G30,2)</f>
        <v>0</v>
      </c>
      <c r="I30" s="15" t="n">
        <f aca="false">ROUND(ABS(SUMIFS(Funded!$B$4:$B$57,Funded!$A$4:$A$57,$A30)-B30)+ABS(SUMIFS(Funded!$C$4:$C$57,Funded!$A$4:$A$57,$A30)-C30)+ABS(SUMIFS(Funded!$D$4:$D$57,Funded!$A$4:$A$57,$A30)-D30)+ABS(SUMIFS(Funded!$E$4:$E$57,Funded!$A$4:$A$57,$A30)-E30),2)</f>
        <v>0</v>
      </c>
    </row>
    <row r="31" customFormat="false" ht="15" hidden="false" customHeight="false" outlineLevel="0" collapsed="false">
      <c r="A31" s="21" t="n">
        <v>46231</v>
      </c>
      <c r="B31" s="15" t="n">
        <v>322779.23</v>
      </c>
      <c r="C31" s="15" t="n">
        <v>-27088.12</v>
      </c>
      <c r="D31" s="15" t="n">
        <v>0</v>
      </c>
      <c r="E31" s="15" t="n">
        <v>0</v>
      </c>
      <c r="F31" s="15" t="n">
        <v>0</v>
      </c>
      <c r="G31" s="15" t="n">
        <v>295691.11</v>
      </c>
      <c r="H31" s="15" t="n">
        <f aca="false">ROUND(SUM(B31:F31)-G31,2)</f>
        <v>0</v>
      </c>
      <c r="I31" s="15" t="n">
        <f aca="false">ROUND(ABS(SUMIFS(Funded!$B$4:$B$57,Funded!$A$4:$A$57,$A31)-B31)+ABS(SUMIFS(Funded!$C$4:$C$57,Funded!$A$4:$A$57,$A31)-C31)+ABS(SUMIFS(Funded!$D$4:$D$57,Funded!$A$4:$A$57,$A31)-D31)+ABS(SUMIFS(Funded!$E$4:$E$57,Funded!$A$4:$A$57,$A31)-E31),2)</f>
        <v>0</v>
      </c>
    </row>
    <row r="32" customFormat="false" ht="15" hidden="false" customHeight="false" outlineLevel="0" collapsed="false">
      <c r="A32" s="21" t="n">
        <v>46232</v>
      </c>
      <c r="B32" s="15" t="n">
        <v>280851.38</v>
      </c>
      <c r="C32" s="15" t="n">
        <v>-87014.97</v>
      </c>
      <c r="D32" s="15" t="n">
        <v>0</v>
      </c>
      <c r="E32" s="15" t="n">
        <v>0</v>
      </c>
      <c r="F32" s="15" t="n">
        <v>0</v>
      </c>
      <c r="G32" s="15" t="n">
        <v>193836.41</v>
      </c>
      <c r="H32" s="15" t="n">
        <f aca="false">ROUND(SUM(B32:F32)-G32,2)</f>
        <v>0</v>
      </c>
      <c r="I32" s="15" t="n">
        <f aca="false">ROUND(ABS(SUMIFS(Funded!$B$4:$B$57,Funded!$A$4:$A$57,$A32)-B32)+ABS(SUMIFS(Funded!$C$4:$C$57,Funded!$A$4:$A$57,$A32)-C32)+ABS(SUMIFS(Funded!$D$4:$D$57,Funded!$A$4:$A$57,$A32)-D32)+ABS(SUMIFS(Funded!$E$4:$E$57,Funded!$A$4:$A$57,$A32)-E32),2)</f>
        <v>0</v>
      </c>
    </row>
    <row r="33" customFormat="false" ht="15" hidden="false" customHeight="false" outlineLevel="0" collapsed="false">
      <c r="A33" s="21" t="n">
        <v>46233</v>
      </c>
      <c r="B33" s="15" t="n">
        <v>315294.86</v>
      </c>
      <c r="C33" s="15" t="n">
        <v>-26959.97</v>
      </c>
      <c r="D33" s="15" t="n">
        <v>0</v>
      </c>
      <c r="E33" s="15" t="n">
        <v>0</v>
      </c>
      <c r="F33" s="15" t="n">
        <v>0</v>
      </c>
      <c r="G33" s="15" t="n">
        <v>288334.89</v>
      </c>
      <c r="H33" s="15" t="n">
        <f aca="false">ROUND(SUM(B33:F33)-G33,2)</f>
        <v>0</v>
      </c>
      <c r="I33" s="15" t="n">
        <f aca="false">ROUND(ABS(SUMIFS(Funded!$B$4:$B$57,Funded!$A$4:$A$57,$A33)-B33)+ABS(SUMIFS(Funded!$C$4:$C$57,Funded!$A$4:$A$57,$A33)-C33)+ABS(SUMIFS(Funded!$D$4:$D$57,Funded!$A$4:$A$57,$A33)-D33)+ABS(SUMIFS(Funded!$E$4:$E$57,Funded!$A$4:$A$57,$A33)-E33),2)</f>
        <v>0</v>
      </c>
    </row>
    <row r="34" customFormat="false" ht="15" hidden="false" customHeight="false" outlineLevel="0" collapsed="false">
      <c r="A34" s="21" t="n">
        <v>46234</v>
      </c>
      <c r="B34" s="15" t="n">
        <v>6679.24</v>
      </c>
      <c r="C34" s="15" t="n">
        <v>-2466.5</v>
      </c>
      <c r="D34" s="15" t="n">
        <v>0</v>
      </c>
      <c r="E34" s="15" t="n">
        <v>0</v>
      </c>
      <c r="F34" s="15" t="n">
        <v>0</v>
      </c>
      <c r="G34" s="15" t="n">
        <v>4212.74</v>
      </c>
      <c r="H34" s="15" t="n">
        <f aca="false">ROUND(SUM(B34:F34)-G34,2)</f>
        <v>0</v>
      </c>
      <c r="I34" s="15" t="n">
        <f aca="false">ROUND(ABS(SUMIFS(Funded!$B$4:$B$57,Funded!$A$4:$A$57,$A34)-B34)+ABS(SUMIFS(Funded!$C$4:$C$57,Funded!$A$4:$A$57,$A34)-C34)+ABS(SUMIFS(Funded!$D$4:$D$57,Funded!$A$4:$A$57,$A34)-D34)+ABS(SUMIFS(Funded!$E$4:$E$57,Funded!$A$4:$A$57,$A34)-E34),2)</f>
        <v>0</v>
      </c>
    </row>
    <row r="35" customFormat="false" ht="15" hidden="false" customHeight="false" outlineLevel="0" collapsed="false">
      <c r="A35" s="4" t="s">
        <v>249</v>
      </c>
      <c r="B35" s="15" t="n">
        <v>0</v>
      </c>
      <c r="C35" s="15" t="n">
        <v>0</v>
      </c>
      <c r="D35" s="15" t="n">
        <v>0</v>
      </c>
      <c r="E35" s="15" t="n">
        <v>0</v>
      </c>
      <c r="F35" s="15" t="n">
        <v>-170258.04</v>
      </c>
      <c r="G35" s="15" t="n">
        <v>-170258.04</v>
      </c>
      <c r="H35" s="15" t="n">
        <f aca="false">ROUND(SUM(B35:F35)-G35,2)</f>
        <v>0</v>
      </c>
    </row>
    <row r="36" customFormat="false" ht="15" hidden="false" customHeight="false" outlineLevel="0" collapsed="false">
      <c r="A36" s="22" t="s">
        <v>250</v>
      </c>
      <c r="B36" s="23" t="n">
        <v>8980209.18</v>
      </c>
      <c r="C36" s="23" t="n">
        <v>-1678631.31</v>
      </c>
      <c r="D36" s="23" t="n">
        <v>-1213.82</v>
      </c>
      <c r="E36" s="23" t="n">
        <v>0</v>
      </c>
      <c r="F36" s="23" t="n">
        <v>-170258.04</v>
      </c>
      <c r="G36" s="23" t="n">
        <v>7130106.01</v>
      </c>
    </row>
    <row r="37" customFormat="false" ht="15" hidden="false" customHeight="false" outlineLevel="0" collapsed="false">
      <c r="A37" s="22" t="s">
        <v>251</v>
      </c>
      <c r="B37" s="23" t="n">
        <f aca="false">SUM(B4:B35)</f>
        <v>8980209.18</v>
      </c>
      <c r="C37" s="23" t="n">
        <f aca="false">SUM(C4:C35)</f>
        <v>-1678631.31</v>
      </c>
      <c r="D37" s="23" t="n">
        <f aca="false">SUM(D4:D35)</f>
        <v>-1213.82</v>
      </c>
      <c r="E37" s="23" t="n">
        <f aca="false">SUM(E4:E35)</f>
        <v>0</v>
      </c>
      <c r="F37" s="23" t="n">
        <f aca="false">SUM(F4:F35)</f>
        <v>-170258.04</v>
      </c>
      <c r="G37" s="23" t="n">
        <f aca="false">SUM(G4:G35)</f>
        <v>7130106.01</v>
      </c>
    </row>
    <row r="38" customFormat="false" ht="15" hidden="false" customHeight="false" outlineLevel="0" collapsed="false">
      <c r="A38" s="22" t="s">
        <v>75</v>
      </c>
      <c r="B38" s="23" t="n">
        <f aca="false">ROUND(B37-B36,2)</f>
        <v>0</v>
      </c>
      <c r="C38" s="23" t="n">
        <f aca="false">ROUND(C37-C36,2)</f>
        <v>0</v>
      </c>
      <c r="D38" s="23" t="n">
        <f aca="false">ROUND(D37-D36,2)</f>
        <v>0</v>
      </c>
      <c r="E38" s="23" t="n">
        <f aca="false">ROUND(E37-E36,2)</f>
        <v>0</v>
      </c>
      <c r="F38" s="23" t="n">
        <f aca="false">ROUND(F37-F36,2)</f>
        <v>0</v>
      </c>
      <c r="G38" s="23" t="n">
        <f aca="false">ROUND(G37-G36,2)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12"/>
    <col collapsed="false" customWidth="true" hidden="false" outlineLevel="0" max="4" min="4" style="0" width="18"/>
    <col collapsed="false" customWidth="true" hidden="false" outlineLevel="0" max="5" min="5" style="0" width="12"/>
    <col collapsed="false" customWidth="true" hidden="false" outlineLevel="0" max="6" min="6" style="0" width="16"/>
    <col collapsed="false" customWidth="true" hidden="false" outlineLevel="0" max="7" min="7" style="0" width="12"/>
    <col collapsed="false" customWidth="true" hidden="false" outlineLevel="0" max="8" min="8" style="0" width="18"/>
    <col collapsed="false" customWidth="true" hidden="false" outlineLevel="0" max="9" min="9" style="0" width="16"/>
    <col collapsed="false" customWidth="true" hidden="false" outlineLevel="0" max="10" min="10" style="0" width="12"/>
    <col collapsed="false" customWidth="true" hidden="false" outlineLevel="0" max="11" min="11" style="0" width="16"/>
    <col collapsed="false" customWidth="true" hidden="false" outlineLevel="0" max="13" min="12" style="0" width="12"/>
    <col collapsed="false" customWidth="true" hidden="false" outlineLevel="0" max="14" min="14" style="0" width="18"/>
    <col collapsed="false" customWidth="true" hidden="false" outlineLevel="0" max="15" min="15" style="0" width="16"/>
  </cols>
  <sheetData>
    <row r="1" customFormat="false" ht="17.35" hidden="false" customHeight="false" outlineLevel="0" collapsed="false">
      <c r="A1" s="1" t="s">
        <v>252</v>
      </c>
    </row>
    <row r="2" customFormat="false" ht="15" hidden="false" customHeight="false" outlineLevel="0" collapsed="false">
      <c r="A2" s="8" t="s">
        <v>253</v>
      </c>
    </row>
    <row r="3" customFormat="false" ht="30" hidden="false" customHeight="true" outlineLevel="0" collapsed="false">
      <c r="A3" s="13" t="s">
        <v>224</v>
      </c>
      <c r="B3" s="13" t="s">
        <v>254</v>
      </c>
      <c r="C3" s="13" t="s">
        <v>255</v>
      </c>
      <c r="D3" s="13" t="s">
        <v>256</v>
      </c>
      <c r="E3" s="13" t="s">
        <v>257</v>
      </c>
      <c r="F3" s="13" t="s">
        <v>258</v>
      </c>
      <c r="G3" s="13" t="s">
        <v>259</v>
      </c>
      <c r="H3" s="13" t="s">
        <v>260</v>
      </c>
      <c r="I3" s="13" t="s">
        <v>261</v>
      </c>
      <c r="J3" s="13" t="s">
        <v>262</v>
      </c>
      <c r="K3" s="13" t="s">
        <v>263</v>
      </c>
      <c r="L3" s="13" t="s">
        <v>264</v>
      </c>
      <c r="M3" s="13" t="s">
        <v>265</v>
      </c>
      <c r="N3" s="13" t="s">
        <v>266</v>
      </c>
      <c r="O3" s="13" t="s">
        <v>267</v>
      </c>
    </row>
    <row r="4" customFormat="false" ht="15" hidden="false" customHeight="false" outlineLevel="0" collapsed="false">
      <c r="A4" s="4" t="s">
        <v>268</v>
      </c>
      <c r="B4" s="15" t="n">
        <v>786.14</v>
      </c>
      <c r="C4" s="18" t="n">
        <v>3093</v>
      </c>
      <c r="D4" s="15" t="n">
        <v>2664297.23</v>
      </c>
      <c r="E4" s="18" t="n">
        <v>190</v>
      </c>
      <c r="F4" s="15" t="n">
        <v>-83403.24</v>
      </c>
      <c r="G4" s="18" t="n">
        <v>3283</v>
      </c>
      <c r="H4" s="15" t="n">
        <v>2580893.99</v>
      </c>
      <c r="I4" s="15" t="n">
        <f aca="false">ROUND(D4+F4-H4,2)</f>
        <v>0</v>
      </c>
      <c r="J4" s="18" t="n">
        <f aca="false">C4+E4-G4</f>
        <v>0</v>
      </c>
      <c r="K4" s="15" t="n">
        <f aca="false">ROUND(H4/G4,2)</f>
        <v>786.14</v>
      </c>
      <c r="L4" s="15" t="n">
        <f aca="false">ROUND(K4-B4,2)</f>
        <v>0</v>
      </c>
      <c r="M4" s="16" t="n">
        <f aca="false">H4/$H$9</f>
        <v>0.287397981301812</v>
      </c>
      <c r="N4" s="16" t="n">
        <v>0.2874</v>
      </c>
      <c r="O4" s="24" t="n">
        <f aca="false">ROUND(M4,4)-N4</f>
        <v>0</v>
      </c>
    </row>
    <row r="5" customFormat="false" ht="15" hidden="false" customHeight="false" outlineLevel="0" collapsed="false">
      <c r="A5" s="4" t="s">
        <v>269</v>
      </c>
      <c r="B5" s="15" t="n">
        <v>782.05</v>
      </c>
      <c r="C5" s="18" t="n">
        <v>5065</v>
      </c>
      <c r="D5" s="15" t="n">
        <v>4308663.34</v>
      </c>
      <c r="E5" s="18" t="n">
        <v>275</v>
      </c>
      <c r="F5" s="15" t="n">
        <v>-132497.98</v>
      </c>
      <c r="G5" s="18" t="n">
        <v>5340</v>
      </c>
      <c r="H5" s="15" t="n">
        <v>4176165.36</v>
      </c>
      <c r="I5" s="15" t="n">
        <f aca="false">ROUND(D5+F5-H5,2)</f>
        <v>0</v>
      </c>
      <c r="J5" s="18" t="n">
        <f aca="false">C5+E5-G5</f>
        <v>0</v>
      </c>
      <c r="K5" s="15" t="n">
        <f aca="false">ROUND(H5/G5,2)</f>
        <v>782.05</v>
      </c>
      <c r="L5" s="15" t="n">
        <f aca="false">ROUND(K5-B5,2)</f>
        <v>0</v>
      </c>
      <c r="M5" s="16" t="n">
        <f aca="false">H5/$H$9</f>
        <v>0.465040989167693</v>
      </c>
      <c r="N5" s="16" t="n">
        <v>0.465</v>
      </c>
      <c r="O5" s="24" t="n">
        <f aca="false">ROUND(M5,4)-N5</f>
        <v>0</v>
      </c>
    </row>
    <row r="6" customFormat="false" ht="15" hidden="false" customHeight="false" outlineLevel="0" collapsed="false">
      <c r="A6" s="4" t="s">
        <v>270</v>
      </c>
      <c r="B6" s="15" t="n">
        <v>751.08</v>
      </c>
      <c r="C6" s="18" t="n">
        <v>192</v>
      </c>
      <c r="D6" s="15" t="n">
        <v>154076.77</v>
      </c>
      <c r="E6" s="18" t="n">
        <v>10</v>
      </c>
      <c r="F6" s="15" t="n">
        <v>-2358.6</v>
      </c>
      <c r="G6" s="18" t="n">
        <v>202</v>
      </c>
      <c r="H6" s="15" t="n">
        <v>151718.17</v>
      </c>
      <c r="I6" s="15" t="n">
        <f aca="false">ROUND(D6+F6-H6,2)</f>
        <v>0</v>
      </c>
      <c r="J6" s="18" t="n">
        <f aca="false">C6+E6-G6</f>
        <v>0</v>
      </c>
      <c r="K6" s="15" t="n">
        <f aca="false">ROUND(H6/G6,2)</f>
        <v>751.08</v>
      </c>
      <c r="L6" s="15" t="n">
        <f aca="false">ROUND(K6-B6,2)</f>
        <v>0</v>
      </c>
      <c r="M6" s="16" t="n">
        <f aca="false">H6/$H$9</f>
        <v>0.0168947256081623</v>
      </c>
      <c r="N6" s="16" t="n">
        <v>0.0169</v>
      </c>
      <c r="O6" s="24" t="n">
        <f aca="false">ROUND(M6,4)-N6</f>
        <v>0</v>
      </c>
    </row>
    <row r="7" customFormat="false" ht="15" hidden="false" customHeight="false" outlineLevel="0" collapsed="false">
      <c r="A7" s="4" t="s">
        <v>271</v>
      </c>
      <c r="B7" s="15" t="n">
        <v>1026.69</v>
      </c>
      <c r="C7" s="18" t="n">
        <v>1568</v>
      </c>
      <c r="D7" s="15" t="n">
        <v>1708240.49</v>
      </c>
      <c r="E7" s="18" t="n">
        <v>67</v>
      </c>
      <c r="F7" s="15" t="n">
        <v>-29609.18</v>
      </c>
      <c r="G7" s="18" t="n">
        <v>1635</v>
      </c>
      <c r="H7" s="15" t="n">
        <v>1678631.31</v>
      </c>
      <c r="I7" s="15" t="n">
        <f aca="false">ROUND(D7+F7-H7,2)</f>
        <v>0</v>
      </c>
      <c r="J7" s="18" t="n">
        <f aca="false">C7+E7-G7</f>
        <v>0</v>
      </c>
      <c r="K7" s="15" t="n">
        <f aca="false">ROUND(H7/G7,2)</f>
        <v>1026.69</v>
      </c>
      <c r="L7" s="15" t="n">
        <f aca="false">ROUND(K7-B7,2)</f>
        <v>0</v>
      </c>
      <c r="M7" s="16" t="n">
        <f aca="false">H7/$H$9</f>
        <v>0.186925635734467</v>
      </c>
      <c r="N7" s="16" t="n">
        <v>0.1869</v>
      </c>
      <c r="O7" s="24" t="n">
        <f aca="false">ROUND(M7,4)-N7</f>
        <v>0</v>
      </c>
    </row>
    <row r="8" customFormat="false" ht="15" hidden="false" customHeight="false" outlineLevel="0" collapsed="false">
      <c r="A8" s="4" t="s">
        <v>272</v>
      </c>
      <c r="B8" s="15" t="n">
        <v>601.53</v>
      </c>
      <c r="C8" s="18" t="n">
        <v>653</v>
      </c>
      <c r="D8" s="15" t="n">
        <v>392800.35</v>
      </c>
      <c r="E8" s="18" t="n">
        <v>0</v>
      </c>
      <c r="F8" s="15" t="n">
        <v>0</v>
      </c>
      <c r="G8" s="18" t="n">
        <v>653</v>
      </c>
      <c r="H8" s="15" t="n">
        <v>392800.35</v>
      </c>
      <c r="I8" s="15" t="n">
        <f aca="false">ROUND(D8+F8-H8,2)</f>
        <v>0</v>
      </c>
      <c r="J8" s="18" t="n">
        <f aca="false">C8+E8-G8</f>
        <v>0</v>
      </c>
      <c r="K8" s="15" t="n">
        <f aca="false">ROUND(H8/G8,2)</f>
        <v>601.53</v>
      </c>
      <c r="L8" s="15" t="n">
        <f aca="false">ROUND(K8-B8,2)</f>
        <v>0</v>
      </c>
      <c r="M8" s="16" t="n">
        <f aca="false">H8/$H$9</f>
        <v>0.0437406681878651</v>
      </c>
      <c r="N8" s="16" t="n">
        <v>0.0437</v>
      </c>
      <c r="O8" s="24" t="n">
        <f aca="false">ROUND(M8,4)-N8</f>
        <v>0</v>
      </c>
    </row>
    <row r="9" customFormat="false" ht="15" hidden="false" customHeight="false" outlineLevel="0" collapsed="false">
      <c r="A9" s="22" t="s">
        <v>250</v>
      </c>
      <c r="C9" s="25" t="n">
        <v>10571</v>
      </c>
      <c r="D9" s="23" t="n">
        <v>9228078.18</v>
      </c>
      <c r="E9" s="25" t="n">
        <v>542</v>
      </c>
      <c r="F9" s="23" t="n">
        <v>-247869</v>
      </c>
      <c r="G9" s="25" t="n">
        <v>11113</v>
      </c>
      <c r="H9" s="23" t="n">
        <v>8980209.18</v>
      </c>
    </row>
    <row r="10" customFormat="false" ht="15" hidden="false" customHeight="false" outlineLevel="0" collapsed="false">
      <c r="A10" s="22" t="s">
        <v>251</v>
      </c>
      <c r="C10" s="25" t="n">
        <f aca="false">SUM(C4:C8)</f>
        <v>10571</v>
      </c>
      <c r="D10" s="23" t="n">
        <f aca="false">SUM(D4:D8)</f>
        <v>9228078.18</v>
      </c>
      <c r="E10" s="25" t="n">
        <f aca="false">SUM(E4:E8)</f>
        <v>542</v>
      </c>
      <c r="F10" s="23" t="n">
        <f aca="false">SUM(F4:F8)</f>
        <v>-247869</v>
      </c>
      <c r="G10" s="25" t="n">
        <f aca="false">SUM(G4:G8)</f>
        <v>11113</v>
      </c>
      <c r="H10" s="23" t="n">
        <f aca="false">SUM(H4:H8)</f>
        <v>8980209.18</v>
      </c>
      <c r="K10" s="23" t="n">
        <f aca="false">ROUND(H10/G10,2)</f>
        <v>808.08</v>
      </c>
    </row>
    <row r="11" customFormat="false" ht="15" hidden="false" customHeight="false" outlineLevel="0" collapsed="false">
      <c r="A11" s="22" t="s">
        <v>75</v>
      </c>
      <c r="C11" s="25" t="n">
        <f aca="false">ROUND(C10-C9,2)</f>
        <v>0</v>
      </c>
      <c r="D11" s="23" t="n">
        <f aca="false">ROUND(D10-D9,2)</f>
        <v>0</v>
      </c>
      <c r="E11" s="25" t="n">
        <f aca="false">ROUND(E10-E9,2)</f>
        <v>0</v>
      </c>
      <c r="F11" s="23" t="n">
        <f aca="false">ROUND(F10-F9,2)</f>
        <v>0</v>
      </c>
      <c r="G11" s="25" t="n">
        <f aca="false">ROUND(G10-G9,2)</f>
        <v>0</v>
      </c>
      <c r="H11" s="23" t="n">
        <f aca="false">ROUND(H10-H9,2)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2" min="1" style="0" width="18"/>
    <col collapsed="false" customWidth="true" hidden="false" outlineLevel="0" max="3" min="3" style="0" width="16"/>
    <col collapsed="false" customWidth="true" hidden="false" outlineLevel="0" max="6" min="4" style="0" width="14"/>
    <col collapsed="false" customWidth="true" hidden="false" outlineLevel="0" max="7" min="7" style="0" width="18"/>
    <col collapsed="false" customWidth="true" hidden="false" outlineLevel="0" max="8" min="8" style="0" width="12"/>
    <col collapsed="false" customWidth="true" hidden="false" outlineLevel="0" max="9" min="9" style="0" width="18"/>
    <col collapsed="false" customWidth="true" hidden="false" outlineLevel="0" max="10" min="10" style="0" width="12"/>
  </cols>
  <sheetData>
    <row r="1" customFormat="false" ht="17.35" hidden="false" customHeight="false" outlineLevel="0" collapsed="false">
      <c r="A1" s="1" t="s">
        <v>273</v>
      </c>
    </row>
    <row r="3" customFormat="false" ht="30" hidden="false" customHeight="true" outlineLevel="0" collapsed="false">
      <c r="A3" s="13" t="s">
        <v>274</v>
      </c>
      <c r="B3" s="13" t="s">
        <v>68</v>
      </c>
      <c r="C3" s="13" t="s">
        <v>69</v>
      </c>
      <c r="D3" s="13" t="s">
        <v>27</v>
      </c>
      <c r="E3" s="13" t="s">
        <v>70</v>
      </c>
      <c r="F3" s="13" t="s">
        <v>71</v>
      </c>
      <c r="G3" s="13" t="s">
        <v>275</v>
      </c>
      <c r="H3" s="13" t="s">
        <v>276</v>
      </c>
      <c r="I3" s="13" t="s">
        <v>277</v>
      </c>
      <c r="J3" s="13" t="s">
        <v>278</v>
      </c>
    </row>
    <row r="4" customFormat="false" ht="15" hidden="false" customHeight="false" outlineLevel="0" collapsed="false">
      <c r="A4" s="4" t="s">
        <v>50</v>
      </c>
      <c r="B4" s="15" t="n">
        <v>663551.51</v>
      </c>
      <c r="C4" s="15" t="n">
        <v>-112170.62</v>
      </c>
      <c r="D4" s="15" t="n">
        <v>0</v>
      </c>
      <c r="E4" s="15" t="n">
        <v>0</v>
      </c>
      <c r="F4" s="15" t="n">
        <v>-16503.2</v>
      </c>
      <c r="G4" s="15" t="n">
        <v>534877.69</v>
      </c>
      <c r="H4" s="15" t="n">
        <f aca="false">ROUND(SUM(B4:F4)-G4,2)</f>
        <v>0</v>
      </c>
      <c r="I4" s="15" t="n">
        <f aca="false">SUMPRODUCT((PaidByOthers!$A$4:$A$25=A4)*PaidByOthers!$C$4:$C$25)</f>
        <v>-112170.62</v>
      </c>
      <c r="J4" s="15" t="n">
        <f aca="false">ROUND(I4-C4,2)</f>
        <v>0</v>
      </c>
    </row>
    <row r="5" customFormat="false" ht="15" hidden="false" customHeight="false" outlineLevel="0" collapsed="false">
      <c r="A5" s="4" t="s">
        <v>279</v>
      </c>
      <c r="B5" s="15" t="n">
        <v>450527.16</v>
      </c>
      <c r="C5" s="15" t="n">
        <v>-72683.76</v>
      </c>
      <c r="D5" s="15" t="n">
        <v>0</v>
      </c>
      <c r="E5" s="15" t="n">
        <v>0</v>
      </c>
      <c r="F5" s="15" t="n">
        <v>-8658.04</v>
      </c>
      <c r="G5" s="15" t="n">
        <v>369185.36</v>
      </c>
      <c r="H5" s="15" t="n">
        <f aca="false">ROUND(SUM(B5:F5)-G5,2)</f>
        <v>0</v>
      </c>
      <c r="I5" s="15" t="n">
        <f aca="false">SUMPRODUCT((PaidByOthers!$A$4:$A$25=A5)*PaidByOthers!$C$4:$C$25)</f>
        <v>-72683.76</v>
      </c>
      <c r="J5" s="15" t="n">
        <f aca="false">ROUND(I5-C5,2)</f>
        <v>0</v>
      </c>
    </row>
    <row r="6" customFormat="false" ht="15" hidden="false" customHeight="false" outlineLevel="0" collapsed="false">
      <c r="A6" s="4" t="s">
        <v>280</v>
      </c>
      <c r="B6" s="15" t="n">
        <v>278189.09</v>
      </c>
      <c r="C6" s="15" t="n">
        <v>-21775.01</v>
      </c>
      <c r="D6" s="15" t="n">
        <v>0</v>
      </c>
      <c r="E6" s="15" t="n">
        <v>0</v>
      </c>
      <c r="F6" s="15" t="n">
        <v>-6788.13</v>
      </c>
      <c r="G6" s="15" t="n">
        <v>249625.95</v>
      </c>
      <c r="H6" s="15" t="n">
        <f aca="false">ROUND(SUM(B6:F6)-G6,2)</f>
        <v>0</v>
      </c>
      <c r="I6" s="15" t="n">
        <f aca="false">SUMPRODUCT((PaidByOthers!$A$4:$A$25=A6)*PaidByOthers!$C$4:$C$25)</f>
        <v>-21775.01</v>
      </c>
      <c r="J6" s="15" t="n">
        <f aca="false">ROUND(I6-C6,2)</f>
        <v>0</v>
      </c>
    </row>
    <row r="7" customFormat="false" ht="15" hidden="false" customHeight="false" outlineLevel="0" collapsed="false">
      <c r="A7" s="4" t="s">
        <v>281</v>
      </c>
      <c r="B7" s="15" t="n">
        <v>278226.06</v>
      </c>
      <c r="C7" s="15" t="n">
        <v>-40102.29</v>
      </c>
      <c r="D7" s="15" t="n">
        <v>0</v>
      </c>
      <c r="E7" s="15" t="n">
        <v>0</v>
      </c>
      <c r="F7" s="15" t="n">
        <v>-6054.24</v>
      </c>
      <c r="G7" s="15" t="n">
        <v>232069.53</v>
      </c>
      <c r="H7" s="15" t="n">
        <f aca="false">ROUND(SUM(B7:F7)-G7,2)</f>
        <v>0</v>
      </c>
      <c r="I7" s="15" t="n">
        <f aca="false">SUMPRODUCT((PaidByOthers!$A$4:$A$25=A7)*PaidByOthers!$C$4:$C$25)</f>
        <v>-40102.29</v>
      </c>
      <c r="J7" s="15" t="n">
        <f aca="false">ROUND(I7-C7,2)</f>
        <v>0</v>
      </c>
    </row>
    <row r="8" customFormat="false" ht="15" hidden="false" customHeight="false" outlineLevel="0" collapsed="false">
      <c r="A8" s="4" t="s">
        <v>282</v>
      </c>
      <c r="B8" s="15" t="n">
        <v>1251729.58</v>
      </c>
      <c r="C8" s="15" t="n">
        <v>-305584.22</v>
      </c>
      <c r="D8" s="15" t="n">
        <v>0</v>
      </c>
      <c r="E8" s="15" t="n">
        <v>0</v>
      </c>
      <c r="F8" s="15" t="n">
        <v>-20760.07</v>
      </c>
      <c r="G8" s="15" t="n">
        <v>925385.29</v>
      </c>
      <c r="H8" s="15" t="n">
        <f aca="false">ROUND(SUM(B8:F8)-G8,2)</f>
        <v>0</v>
      </c>
      <c r="I8" s="15" t="n">
        <f aca="false">SUMPRODUCT((PaidByOthers!$A$4:$A$25=A8)*PaidByOthers!$C$4:$C$25)</f>
        <v>-305584.22</v>
      </c>
      <c r="J8" s="15" t="n">
        <f aca="false">ROUND(I8-C8,2)</f>
        <v>0</v>
      </c>
    </row>
    <row r="9" customFormat="false" ht="15" hidden="false" customHeight="false" outlineLevel="0" collapsed="false">
      <c r="A9" s="4" t="s">
        <v>283</v>
      </c>
      <c r="B9" s="15" t="n">
        <v>421779.8</v>
      </c>
      <c r="C9" s="15" t="n">
        <v>-43230.27</v>
      </c>
      <c r="D9" s="15" t="n">
        <v>0</v>
      </c>
      <c r="E9" s="15" t="n">
        <v>0</v>
      </c>
      <c r="F9" s="15" t="n">
        <v>-7325.32</v>
      </c>
      <c r="G9" s="15" t="n">
        <v>371224.21</v>
      </c>
      <c r="H9" s="15" t="n">
        <f aca="false">ROUND(SUM(B9:F9)-G9,2)</f>
        <v>0</v>
      </c>
      <c r="I9" s="15" t="n">
        <f aca="false">SUMPRODUCT((PaidByOthers!$A$4:$A$25=A9)*PaidByOthers!$C$4:$C$25)</f>
        <v>-43230.27</v>
      </c>
      <c r="J9" s="15" t="n">
        <f aca="false">ROUND(I9-C9,2)</f>
        <v>0</v>
      </c>
    </row>
    <row r="10" customFormat="false" ht="15" hidden="false" customHeight="false" outlineLevel="0" collapsed="false">
      <c r="A10" s="4" t="s">
        <v>284</v>
      </c>
      <c r="B10" s="15" t="n">
        <v>423642.31</v>
      </c>
      <c r="C10" s="15" t="n">
        <v>-36882.61</v>
      </c>
      <c r="D10" s="15" t="n">
        <v>0</v>
      </c>
      <c r="E10" s="15" t="n">
        <v>0</v>
      </c>
      <c r="F10" s="15" t="n">
        <v>-12149.34</v>
      </c>
      <c r="G10" s="15" t="n">
        <v>374610.36</v>
      </c>
      <c r="H10" s="15" t="n">
        <f aca="false">ROUND(SUM(B10:F10)-G10,2)</f>
        <v>0</v>
      </c>
      <c r="I10" s="15" t="n">
        <f aca="false">SUMPRODUCT((PaidByOthers!$A$4:$A$25=A10)*PaidByOthers!$C$4:$C$25)</f>
        <v>-36882.61</v>
      </c>
      <c r="J10" s="15" t="n">
        <f aca="false">ROUND(I10-C10,2)</f>
        <v>0</v>
      </c>
    </row>
    <row r="11" customFormat="false" ht="15" hidden="false" customHeight="false" outlineLevel="0" collapsed="false">
      <c r="A11" s="4" t="s">
        <v>285</v>
      </c>
      <c r="B11" s="15" t="n">
        <v>449308.19</v>
      </c>
      <c r="C11" s="15" t="n">
        <v>-60986.13</v>
      </c>
      <c r="D11" s="15" t="n">
        <v>0</v>
      </c>
      <c r="E11" s="15" t="n">
        <v>0</v>
      </c>
      <c r="F11" s="15" t="n">
        <v>-7364.64</v>
      </c>
      <c r="G11" s="15" t="n">
        <v>380957.42</v>
      </c>
      <c r="H11" s="15" t="n">
        <f aca="false">ROUND(SUM(B11:F11)-G11,2)</f>
        <v>0</v>
      </c>
      <c r="I11" s="15" t="n">
        <f aca="false">SUMPRODUCT((PaidByOthers!$A$4:$A$25=A11)*PaidByOthers!$C$4:$C$25)</f>
        <v>-60986.13</v>
      </c>
      <c r="J11" s="15" t="n">
        <f aca="false">ROUND(I11-C11,2)</f>
        <v>0</v>
      </c>
    </row>
    <row r="12" customFormat="false" ht="15" hidden="false" customHeight="false" outlineLevel="0" collapsed="false">
      <c r="A12" s="4" t="s">
        <v>286</v>
      </c>
      <c r="B12" s="15" t="n">
        <v>131235.71</v>
      </c>
      <c r="C12" s="15" t="n">
        <v>-18657.54</v>
      </c>
      <c r="D12" s="15" t="n">
        <v>0</v>
      </c>
      <c r="E12" s="15" t="n">
        <v>0</v>
      </c>
      <c r="F12" s="15" t="n">
        <v>-2954.97</v>
      </c>
      <c r="G12" s="15" t="n">
        <v>109623.2</v>
      </c>
      <c r="H12" s="15" t="n">
        <f aca="false">ROUND(SUM(B12:F12)-G12,2)</f>
        <v>0</v>
      </c>
      <c r="I12" s="15" t="n">
        <f aca="false">SUMPRODUCT((PaidByOthers!$A$4:$A$25=A12)*PaidByOthers!$C$4:$C$25)</f>
        <v>-18657.54</v>
      </c>
      <c r="J12" s="15" t="n">
        <f aca="false">ROUND(I12-C12,2)</f>
        <v>0</v>
      </c>
    </row>
    <row r="13" customFormat="false" ht="15" hidden="false" customHeight="false" outlineLevel="0" collapsed="false">
      <c r="A13" s="4" t="s">
        <v>287</v>
      </c>
      <c r="B13" s="15" t="n">
        <v>649816.1</v>
      </c>
      <c r="C13" s="15" t="n">
        <v>-330284.41</v>
      </c>
      <c r="D13" s="15" t="n">
        <v>0</v>
      </c>
      <c r="E13" s="15" t="n">
        <v>0</v>
      </c>
      <c r="F13" s="15" t="n">
        <v>-6627.81</v>
      </c>
      <c r="G13" s="15" t="n">
        <v>312903.88</v>
      </c>
      <c r="H13" s="15" t="n">
        <f aca="false">ROUND(SUM(B13:F13)-G13,2)</f>
        <v>0</v>
      </c>
      <c r="I13" s="15" t="n">
        <f aca="false">SUMPRODUCT((PaidByOthers!$A$4:$A$25=A13)*PaidByOthers!$C$4:$C$25)</f>
        <v>-330284.41</v>
      </c>
      <c r="J13" s="15" t="n">
        <f aca="false">ROUND(I13-C13,2)</f>
        <v>0</v>
      </c>
    </row>
    <row r="14" customFormat="false" ht="15" hidden="false" customHeight="false" outlineLevel="0" collapsed="false">
      <c r="A14" s="4" t="s">
        <v>288</v>
      </c>
      <c r="B14" s="15" t="n">
        <v>335103.31</v>
      </c>
      <c r="C14" s="15" t="n">
        <v>-20629.27</v>
      </c>
      <c r="D14" s="15" t="n">
        <v>0</v>
      </c>
      <c r="E14" s="15" t="n">
        <v>0</v>
      </c>
      <c r="F14" s="15" t="n">
        <v>-7790.56</v>
      </c>
      <c r="G14" s="15" t="n">
        <v>306683.48</v>
      </c>
      <c r="H14" s="15" t="n">
        <f aca="false">ROUND(SUM(B14:F14)-G14,2)</f>
        <v>0</v>
      </c>
      <c r="I14" s="15" t="n">
        <f aca="false">SUMPRODUCT((PaidByOthers!$A$4:$A$25=A14)*PaidByOthers!$C$4:$C$25)</f>
        <v>-20629.27</v>
      </c>
      <c r="J14" s="15" t="n">
        <f aca="false">ROUND(I14-C14,2)</f>
        <v>0</v>
      </c>
    </row>
    <row r="15" customFormat="false" ht="15" hidden="false" customHeight="false" outlineLevel="0" collapsed="false">
      <c r="A15" s="4" t="s">
        <v>289</v>
      </c>
      <c r="B15" s="15" t="n">
        <v>159370.32</v>
      </c>
      <c r="C15" s="15" t="n">
        <v>-11748.84</v>
      </c>
      <c r="D15" s="15" t="n">
        <v>0</v>
      </c>
      <c r="E15" s="15" t="n">
        <v>0</v>
      </c>
      <c r="F15" s="15" t="n">
        <v>-2644.64</v>
      </c>
      <c r="G15" s="15" t="n">
        <v>144976.84</v>
      </c>
      <c r="H15" s="15" t="n">
        <f aca="false">ROUND(SUM(B15:F15)-G15,2)</f>
        <v>0</v>
      </c>
      <c r="I15" s="15" t="n">
        <f aca="false">SUMPRODUCT((PaidByOthers!$A$4:$A$25=A15)*PaidByOthers!$C$4:$C$25)</f>
        <v>-11748.84</v>
      </c>
      <c r="J15" s="15" t="n">
        <f aca="false">ROUND(I15-C15,2)</f>
        <v>0</v>
      </c>
    </row>
    <row r="16" customFormat="false" ht="15" hidden="false" customHeight="false" outlineLevel="0" collapsed="false">
      <c r="A16" s="4" t="s">
        <v>290</v>
      </c>
      <c r="B16" s="15" t="n">
        <v>312968.68</v>
      </c>
      <c r="C16" s="15" t="n">
        <v>-15046.54</v>
      </c>
      <c r="D16" s="15" t="n">
        <v>0</v>
      </c>
      <c r="E16" s="15" t="n">
        <v>0</v>
      </c>
      <c r="F16" s="15" t="n">
        <v>-6206.57</v>
      </c>
      <c r="G16" s="15" t="n">
        <v>291715.57</v>
      </c>
      <c r="H16" s="15" t="n">
        <f aca="false">ROUND(SUM(B16:F16)-G16,2)</f>
        <v>0</v>
      </c>
      <c r="I16" s="15" t="n">
        <f aca="false">SUMPRODUCT((PaidByOthers!$A$4:$A$25=A16)*PaidByOthers!$C$4:$C$25)</f>
        <v>-15046.54</v>
      </c>
      <c r="J16" s="15" t="n">
        <f aca="false">ROUND(I16-C16,2)</f>
        <v>0</v>
      </c>
    </row>
    <row r="17" customFormat="false" ht="15" hidden="false" customHeight="false" outlineLevel="0" collapsed="false">
      <c r="A17" s="4" t="s">
        <v>291</v>
      </c>
      <c r="B17" s="15" t="n">
        <v>592761.21</v>
      </c>
      <c r="C17" s="15" t="n">
        <v>-162980.93</v>
      </c>
      <c r="D17" s="15" t="n">
        <v>0</v>
      </c>
      <c r="E17" s="15" t="n">
        <v>0</v>
      </c>
      <c r="F17" s="15" t="n">
        <v>-6482.78</v>
      </c>
      <c r="G17" s="15" t="n">
        <v>423297.5</v>
      </c>
      <c r="H17" s="15" t="n">
        <f aca="false">ROUND(SUM(B17:F17)-G17,2)</f>
        <v>0</v>
      </c>
      <c r="I17" s="15" t="n">
        <f aca="false">SUMPRODUCT((PaidByOthers!$A$4:$A$25=A17)*PaidByOthers!$C$4:$C$25)</f>
        <v>-162980.93</v>
      </c>
      <c r="J17" s="15" t="n">
        <f aca="false">ROUND(I17-C17,2)</f>
        <v>0</v>
      </c>
    </row>
    <row r="18" customFormat="false" ht="15" hidden="false" customHeight="false" outlineLevel="0" collapsed="false">
      <c r="A18" s="4" t="s">
        <v>292</v>
      </c>
      <c r="B18" s="15" t="n">
        <v>0</v>
      </c>
      <c r="C18" s="15" t="n">
        <v>0</v>
      </c>
      <c r="D18" s="15" t="n">
        <v>0</v>
      </c>
      <c r="E18" s="15" t="n">
        <v>0</v>
      </c>
      <c r="F18" s="15" t="n">
        <v>-374.89</v>
      </c>
      <c r="G18" s="15" t="n">
        <v>-374.89</v>
      </c>
      <c r="H18" s="15" t="n">
        <f aca="false">ROUND(SUM(B18:F18)-G18,2)</f>
        <v>0</v>
      </c>
      <c r="I18" s="15" t="n">
        <f aca="false">SUMPRODUCT((PaidByOthers!$A$4:$A$25=A18)*PaidByOthers!$C$4:$C$25)</f>
        <v>0</v>
      </c>
      <c r="J18" s="15" t="n">
        <f aca="false">ROUND(I18-C18,2)</f>
        <v>0</v>
      </c>
    </row>
    <row r="19" customFormat="false" ht="15" hidden="false" customHeight="false" outlineLevel="0" collapsed="false">
      <c r="A19" s="4" t="s">
        <v>293</v>
      </c>
      <c r="B19" s="15" t="n">
        <v>718952.25</v>
      </c>
      <c r="C19" s="15" t="n">
        <v>-92067.07</v>
      </c>
      <c r="D19" s="15" t="n">
        <v>0</v>
      </c>
      <c r="E19" s="15" t="n">
        <v>0</v>
      </c>
      <c r="F19" s="15" t="n">
        <v>-14191.39</v>
      </c>
      <c r="G19" s="15" t="n">
        <v>612693.79</v>
      </c>
      <c r="H19" s="15" t="n">
        <f aca="false">ROUND(SUM(B19:F19)-G19,2)</f>
        <v>0</v>
      </c>
      <c r="I19" s="15" t="n">
        <f aca="false">SUMPRODUCT((PaidByOthers!$A$4:$A$25=A19)*PaidByOthers!$C$4:$C$25)</f>
        <v>-92067.07</v>
      </c>
      <c r="J19" s="15" t="n">
        <f aca="false">ROUND(I19-C19,2)</f>
        <v>0</v>
      </c>
    </row>
    <row r="20" customFormat="false" ht="15" hidden="false" customHeight="false" outlineLevel="0" collapsed="false">
      <c r="A20" s="4" t="s">
        <v>294</v>
      </c>
      <c r="B20" s="15" t="n">
        <v>427230.29</v>
      </c>
      <c r="C20" s="15" t="n">
        <v>-76103.42</v>
      </c>
      <c r="D20" s="15" t="n">
        <v>0</v>
      </c>
      <c r="E20" s="15" t="n">
        <v>0</v>
      </c>
      <c r="F20" s="15" t="n">
        <v>-8698.77</v>
      </c>
      <c r="G20" s="15" t="n">
        <v>342428.1</v>
      </c>
      <c r="H20" s="15" t="n">
        <f aca="false">ROUND(SUM(B20:F20)-G20,2)</f>
        <v>0</v>
      </c>
      <c r="I20" s="15" t="n">
        <f aca="false">SUMPRODUCT((PaidByOthers!$A$4:$A$25=A20)*PaidByOthers!$C$4:$C$25)</f>
        <v>-76103.42</v>
      </c>
      <c r="J20" s="15" t="n">
        <f aca="false">ROUND(I20-C20,2)</f>
        <v>0</v>
      </c>
    </row>
    <row r="21" customFormat="false" ht="15" hidden="false" customHeight="false" outlineLevel="0" collapsed="false">
      <c r="A21" s="4" t="s">
        <v>295</v>
      </c>
      <c r="B21" s="15" t="n">
        <v>330609.04</v>
      </c>
      <c r="C21" s="15" t="n">
        <v>-34316.6</v>
      </c>
      <c r="D21" s="15" t="n">
        <v>0</v>
      </c>
      <c r="E21" s="15" t="n">
        <v>0</v>
      </c>
      <c r="F21" s="15" t="n">
        <v>-7179.7</v>
      </c>
      <c r="G21" s="15" t="n">
        <v>289112.74</v>
      </c>
      <c r="H21" s="15" t="n">
        <f aca="false">ROUND(SUM(B21:F21)-G21,2)</f>
        <v>0</v>
      </c>
      <c r="I21" s="15" t="n">
        <f aca="false">SUMPRODUCT((PaidByOthers!$A$4:$A$25=A21)*PaidByOthers!$C$4:$C$25)</f>
        <v>-34316.6</v>
      </c>
      <c r="J21" s="15" t="n">
        <f aca="false">ROUND(I21-C21,2)</f>
        <v>0</v>
      </c>
    </row>
    <row r="22" customFormat="false" ht="15" hidden="false" customHeight="false" outlineLevel="0" collapsed="false">
      <c r="A22" s="4" t="s">
        <v>296</v>
      </c>
      <c r="B22" s="15" t="n">
        <v>309492.25</v>
      </c>
      <c r="C22" s="15" t="n">
        <v>-90471.22</v>
      </c>
      <c r="D22" s="15" t="n">
        <v>0</v>
      </c>
      <c r="E22" s="15" t="n">
        <v>0</v>
      </c>
      <c r="F22" s="15" t="n">
        <v>-7092.85</v>
      </c>
      <c r="G22" s="15" t="n">
        <v>211928.18</v>
      </c>
      <c r="H22" s="15" t="n">
        <f aca="false">ROUND(SUM(B22:F22)-G22,2)</f>
        <v>0</v>
      </c>
      <c r="I22" s="15" t="n">
        <f aca="false">SUMPRODUCT((PaidByOthers!$A$4:$A$25=A22)*PaidByOthers!$C$4:$C$25)</f>
        <v>-90471.22</v>
      </c>
      <c r="J22" s="15" t="n">
        <f aca="false">ROUND(I22-C22,2)</f>
        <v>0</v>
      </c>
    </row>
    <row r="23" customFormat="false" ht="15" hidden="false" customHeight="false" outlineLevel="0" collapsed="false">
      <c r="A23" s="4" t="s">
        <v>297</v>
      </c>
      <c r="B23" s="15" t="n">
        <v>619386.22</v>
      </c>
      <c r="C23" s="15" t="n">
        <v>-123482.54</v>
      </c>
      <c r="D23" s="15" t="n">
        <v>-1213.82</v>
      </c>
      <c r="E23" s="15" t="n">
        <v>0</v>
      </c>
      <c r="F23" s="15" t="n">
        <v>-9181.19</v>
      </c>
      <c r="G23" s="15" t="n">
        <v>485508.67</v>
      </c>
      <c r="H23" s="15" t="n">
        <f aca="false">ROUND(SUM(B23:F23)-G23,2)</f>
        <v>0</v>
      </c>
      <c r="I23" s="15" t="n">
        <f aca="false">SUMPRODUCT((PaidByOthers!$A$4:$A$25=A23)*PaidByOthers!$C$4:$C$25)</f>
        <v>-123482.54</v>
      </c>
      <c r="J23" s="15" t="n">
        <f aca="false">ROUND(I23-C23,2)</f>
        <v>0</v>
      </c>
    </row>
    <row r="24" customFormat="false" ht="15" hidden="false" customHeight="false" outlineLevel="0" collapsed="false">
      <c r="A24" s="4" t="s">
        <v>298</v>
      </c>
      <c r="B24" s="15" t="n">
        <v>67050.15</v>
      </c>
      <c r="C24" s="15" t="n">
        <v>-4807.38</v>
      </c>
      <c r="D24" s="15" t="n">
        <v>0</v>
      </c>
      <c r="E24" s="15" t="n">
        <v>0</v>
      </c>
      <c r="F24" s="15" t="n">
        <v>-1959.16</v>
      </c>
      <c r="G24" s="15" t="n">
        <v>60283.61</v>
      </c>
      <c r="H24" s="15" t="n">
        <f aca="false">ROUND(SUM(B24:F24)-G24,2)</f>
        <v>0</v>
      </c>
      <c r="I24" s="15" t="n">
        <f aca="false">SUMPRODUCT((PaidByOthers!$A$4:$A$25=A24)*PaidByOthers!$C$4:$C$25)</f>
        <v>-4807.38</v>
      </c>
      <c r="J24" s="15" t="n">
        <f aca="false">ROUND(I24-C24,2)</f>
        <v>0</v>
      </c>
    </row>
    <row r="25" customFormat="false" ht="15" hidden="false" customHeight="false" outlineLevel="0" collapsed="false">
      <c r="A25" s="4" t="s">
        <v>299</v>
      </c>
      <c r="B25" s="15" t="n">
        <v>100193.8</v>
      </c>
      <c r="C25" s="15" t="n">
        <v>-3061.34</v>
      </c>
      <c r="D25" s="15" t="n">
        <v>0</v>
      </c>
      <c r="E25" s="15" t="n">
        <v>0</v>
      </c>
      <c r="F25" s="15" t="n">
        <v>-2760.53</v>
      </c>
      <c r="G25" s="15" t="n">
        <v>94371.93</v>
      </c>
      <c r="H25" s="15" t="n">
        <f aca="false">ROUND(SUM(B25:F25)-G25,2)</f>
        <v>0</v>
      </c>
      <c r="I25" s="15" t="n">
        <f aca="false">SUMPRODUCT((PaidByOthers!$A$4:$A$25=A25)*PaidByOthers!$C$4:$C$25)</f>
        <v>-3061.34</v>
      </c>
      <c r="J25" s="15" t="n">
        <f aca="false">ROUND(I25-C25,2)</f>
        <v>0</v>
      </c>
    </row>
    <row r="26" customFormat="false" ht="15" hidden="false" customHeight="false" outlineLevel="0" collapsed="false">
      <c r="A26" s="4" t="s">
        <v>300</v>
      </c>
      <c r="B26" s="15" t="n">
        <v>9086.15</v>
      </c>
      <c r="C26" s="15" t="n">
        <v>-1559.3</v>
      </c>
      <c r="D26" s="15" t="n">
        <v>0</v>
      </c>
      <c r="E26" s="15" t="n">
        <v>0</v>
      </c>
      <c r="F26" s="15" t="n">
        <v>-509.25</v>
      </c>
      <c r="G26" s="15" t="n">
        <v>7017.6</v>
      </c>
      <c r="H26" s="15" t="n">
        <f aca="false">ROUND(SUM(B26:F26)-G26,2)</f>
        <v>0</v>
      </c>
      <c r="I26" s="15" t="n">
        <f aca="false">SUMPRODUCT((PaidByOthers!$A$4:$A$25=A26)*PaidByOthers!$C$4:$C$25)</f>
        <v>-1559.3</v>
      </c>
      <c r="J26" s="15" t="n">
        <f aca="false">ROUND(I26-C26,2)</f>
        <v>0</v>
      </c>
    </row>
    <row r="27" customFormat="false" ht="15" hidden="false" customHeight="false" outlineLevel="0" collapsed="false">
      <c r="A27" s="22" t="s">
        <v>250</v>
      </c>
      <c r="B27" s="23" t="n">
        <v>8980209.18</v>
      </c>
      <c r="C27" s="23" t="n">
        <v>-1678631.31</v>
      </c>
      <c r="D27" s="23" t="n">
        <v>-1213.82</v>
      </c>
      <c r="E27" s="23" t="n">
        <v>0</v>
      </c>
      <c r="F27" s="23" t="n">
        <v>-170258.04</v>
      </c>
      <c r="G27" s="23" t="n">
        <v>7130106.01</v>
      </c>
    </row>
    <row r="28" customFormat="false" ht="15" hidden="false" customHeight="false" outlineLevel="0" collapsed="false">
      <c r="A28" s="22" t="s">
        <v>251</v>
      </c>
      <c r="B28" s="23" t="n">
        <f aca="false">SUM(B4:B26)</f>
        <v>8980209.18</v>
      </c>
      <c r="C28" s="23" t="n">
        <f aca="false">SUM(C4:C26)</f>
        <v>-1678631.31</v>
      </c>
      <c r="D28" s="23" t="n">
        <f aca="false">SUM(D4:D26)</f>
        <v>-1213.82</v>
      </c>
      <c r="E28" s="23" t="n">
        <f aca="false">SUM(E4:E26)</f>
        <v>0</v>
      </c>
      <c r="F28" s="23" t="n">
        <f aca="false">SUM(F4:F26)</f>
        <v>-170258.04</v>
      </c>
      <c r="G28" s="23" t="n">
        <f aca="false">SUM(G4:G26)</f>
        <v>7130106.01</v>
      </c>
    </row>
    <row r="29" customFormat="false" ht="15" hidden="false" customHeight="false" outlineLevel="0" collapsed="false">
      <c r="A29" s="22" t="s">
        <v>75</v>
      </c>
      <c r="B29" s="23" t="n">
        <f aca="false">ROUND(B28-B27,2)</f>
        <v>0</v>
      </c>
      <c r="C29" s="23" t="n">
        <f aca="false">ROUND(C28-C27,2)</f>
        <v>0</v>
      </c>
      <c r="D29" s="23" t="n">
        <f aca="false">ROUND(D28-D27,2)</f>
        <v>0</v>
      </c>
      <c r="E29" s="23" t="n">
        <f aca="false">ROUND(E28-E27,2)</f>
        <v>0</v>
      </c>
      <c r="F29" s="23" t="n">
        <f aca="false">ROUND(F28-F27,2)</f>
        <v>0</v>
      </c>
      <c r="G29" s="23" t="n">
        <f aca="false">ROUND(G28-G27,2)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6"/>
    <col collapsed="false" customWidth="true" hidden="false" outlineLevel="0" max="3" min="3" style="0" width="18"/>
  </cols>
  <sheetData>
    <row r="1" customFormat="false" ht="17.35" hidden="false" customHeight="false" outlineLevel="0" collapsed="false">
      <c r="A1" s="1" t="s">
        <v>69</v>
      </c>
    </row>
    <row r="2" customFormat="false" ht="15" hidden="false" customHeight="false" outlineLevel="0" collapsed="false">
      <c r="A2" s="8" t="s">
        <v>301</v>
      </c>
    </row>
    <row r="3" customFormat="false" ht="30" hidden="false" customHeight="true" outlineLevel="0" collapsed="false">
      <c r="A3" s="13" t="s">
        <v>274</v>
      </c>
      <c r="B3" s="13" t="s">
        <v>302</v>
      </c>
      <c r="C3" s="13" t="s">
        <v>303</v>
      </c>
    </row>
    <row r="4" customFormat="false" ht="15" hidden="false" customHeight="false" outlineLevel="0" collapsed="false">
      <c r="A4" s="4" t="s">
        <v>50</v>
      </c>
      <c r="B4" s="4" t="s">
        <v>304</v>
      </c>
      <c r="C4" s="15" t="n">
        <v>-112170.62</v>
      </c>
    </row>
    <row r="5" customFormat="false" ht="15" hidden="false" customHeight="false" outlineLevel="0" collapsed="false">
      <c r="A5" s="4" t="s">
        <v>279</v>
      </c>
      <c r="B5" s="4" t="s">
        <v>304</v>
      </c>
      <c r="C5" s="15" t="n">
        <v>-72683.76</v>
      </c>
    </row>
    <row r="6" customFormat="false" ht="15" hidden="false" customHeight="false" outlineLevel="0" collapsed="false">
      <c r="A6" s="4" t="s">
        <v>280</v>
      </c>
      <c r="B6" s="4" t="s">
        <v>304</v>
      </c>
      <c r="C6" s="15" t="n">
        <v>-21775.01</v>
      </c>
    </row>
    <row r="7" customFormat="false" ht="15" hidden="false" customHeight="false" outlineLevel="0" collapsed="false">
      <c r="A7" s="4" t="s">
        <v>281</v>
      </c>
      <c r="B7" s="4" t="s">
        <v>304</v>
      </c>
      <c r="C7" s="15" t="n">
        <v>-40102.29</v>
      </c>
    </row>
    <row r="8" customFormat="false" ht="15" hidden="false" customHeight="false" outlineLevel="0" collapsed="false">
      <c r="A8" s="4" t="s">
        <v>282</v>
      </c>
      <c r="B8" s="4" t="s">
        <v>304</v>
      </c>
      <c r="C8" s="15" t="n">
        <v>-305584.22</v>
      </c>
    </row>
    <row r="9" customFormat="false" ht="15" hidden="false" customHeight="false" outlineLevel="0" collapsed="false">
      <c r="A9" s="4" t="s">
        <v>283</v>
      </c>
      <c r="B9" s="4" t="s">
        <v>304</v>
      </c>
      <c r="C9" s="15" t="n">
        <v>-43230.27</v>
      </c>
    </row>
    <row r="10" customFormat="false" ht="15" hidden="false" customHeight="false" outlineLevel="0" collapsed="false">
      <c r="A10" s="4" t="s">
        <v>284</v>
      </c>
      <c r="B10" s="4" t="s">
        <v>304</v>
      </c>
      <c r="C10" s="15" t="n">
        <v>-36882.61</v>
      </c>
    </row>
    <row r="11" customFormat="false" ht="15" hidden="false" customHeight="false" outlineLevel="0" collapsed="false">
      <c r="A11" s="4" t="s">
        <v>285</v>
      </c>
      <c r="B11" s="4" t="s">
        <v>304</v>
      </c>
      <c r="C11" s="15" t="n">
        <v>-60986.13</v>
      </c>
    </row>
    <row r="12" customFormat="false" ht="15" hidden="false" customHeight="false" outlineLevel="0" collapsed="false">
      <c r="A12" s="4" t="s">
        <v>286</v>
      </c>
      <c r="B12" s="4" t="s">
        <v>304</v>
      </c>
      <c r="C12" s="15" t="n">
        <v>-18657.54</v>
      </c>
    </row>
    <row r="13" customFormat="false" ht="15" hidden="false" customHeight="false" outlineLevel="0" collapsed="false">
      <c r="A13" s="4" t="s">
        <v>287</v>
      </c>
      <c r="B13" s="4" t="s">
        <v>304</v>
      </c>
      <c r="C13" s="15" t="n">
        <v>-330284.41</v>
      </c>
    </row>
    <row r="14" customFormat="false" ht="15" hidden="false" customHeight="false" outlineLevel="0" collapsed="false">
      <c r="A14" s="4" t="s">
        <v>288</v>
      </c>
      <c r="B14" s="4" t="s">
        <v>304</v>
      </c>
      <c r="C14" s="15" t="n">
        <v>-20629.27</v>
      </c>
    </row>
    <row r="15" customFormat="false" ht="15" hidden="false" customHeight="false" outlineLevel="0" collapsed="false">
      <c r="A15" s="4" t="s">
        <v>289</v>
      </c>
      <c r="B15" s="4" t="s">
        <v>304</v>
      </c>
      <c r="C15" s="15" t="n">
        <v>-11748.84</v>
      </c>
    </row>
    <row r="16" customFormat="false" ht="15" hidden="false" customHeight="false" outlineLevel="0" collapsed="false">
      <c r="A16" s="4" t="s">
        <v>290</v>
      </c>
      <c r="B16" s="4" t="s">
        <v>304</v>
      </c>
      <c r="C16" s="15" t="n">
        <v>-15046.54</v>
      </c>
    </row>
    <row r="17" customFormat="false" ht="15" hidden="false" customHeight="false" outlineLevel="0" collapsed="false">
      <c r="A17" s="4" t="s">
        <v>291</v>
      </c>
      <c r="B17" s="4" t="s">
        <v>304</v>
      </c>
      <c r="C17" s="15" t="n">
        <v>-162980.93</v>
      </c>
    </row>
    <row r="18" customFormat="false" ht="15" hidden="false" customHeight="false" outlineLevel="0" collapsed="false">
      <c r="A18" s="4" t="s">
        <v>293</v>
      </c>
      <c r="B18" s="4" t="s">
        <v>304</v>
      </c>
      <c r="C18" s="15" t="n">
        <v>-92067.07</v>
      </c>
    </row>
    <row r="19" customFormat="false" ht="15" hidden="false" customHeight="false" outlineLevel="0" collapsed="false">
      <c r="A19" s="4" t="s">
        <v>294</v>
      </c>
      <c r="B19" s="4" t="s">
        <v>304</v>
      </c>
      <c r="C19" s="15" t="n">
        <v>-76103.42</v>
      </c>
    </row>
    <row r="20" customFormat="false" ht="15" hidden="false" customHeight="false" outlineLevel="0" collapsed="false">
      <c r="A20" s="4" t="s">
        <v>295</v>
      </c>
      <c r="B20" s="4" t="s">
        <v>304</v>
      </c>
      <c r="C20" s="15" t="n">
        <v>-34316.6</v>
      </c>
    </row>
    <row r="21" customFormat="false" ht="15" hidden="false" customHeight="false" outlineLevel="0" collapsed="false">
      <c r="A21" s="4" t="s">
        <v>296</v>
      </c>
      <c r="B21" s="4" t="s">
        <v>304</v>
      </c>
      <c r="C21" s="15" t="n">
        <v>-90471.22</v>
      </c>
    </row>
    <row r="22" customFormat="false" ht="15" hidden="false" customHeight="false" outlineLevel="0" collapsed="false">
      <c r="A22" s="4" t="s">
        <v>297</v>
      </c>
      <c r="B22" s="4" t="s">
        <v>304</v>
      </c>
      <c r="C22" s="15" t="n">
        <v>-123482.54</v>
      </c>
    </row>
    <row r="23" customFormat="false" ht="15" hidden="false" customHeight="false" outlineLevel="0" collapsed="false">
      <c r="A23" s="4" t="s">
        <v>298</v>
      </c>
      <c r="B23" s="4" t="s">
        <v>304</v>
      </c>
      <c r="C23" s="15" t="n">
        <v>-4807.38</v>
      </c>
    </row>
    <row r="24" customFormat="false" ht="15" hidden="false" customHeight="false" outlineLevel="0" collapsed="false">
      <c r="A24" s="4" t="s">
        <v>299</v>
      </c>
      <c r="B24" s="4" t="s">
        <v>304</v>
      </c>
      <c r="C24" s="15" t="n">
        <v>-3061.34</v>
      </c>
    </row>
    <row r="25" customFormat="false" ht="15" hidden="false" customHeight="false" outlineLevel="0" collapsed="false">
      <c r="A25" s="4" t="s">
        <v>300</v>
      </c>
      <c r="B25" s="4" t="s">
        <v>304</v>
      </c>
      <c r="C25" s="15" t="n">
        <v>-1559.3</v>
      </c>
    </row>
    <row r="26" customFormat="false" ht="15" hidden="false" customHeight="false" outlineLevel="0" collapsed="false">
      <c r="A26" s="22" t="s">
        <v>250</v>
      </c>
      <c r="B26" s="22"/>
      <c r="C26" s="23" t="n">
        <v>-1678631.31</v>
      </c>
    </row>
    <row r="27" customFormat="false" ht="15" hidden="false" customHeight="false" outlineLevel="0" collapsed="false">
      <c r="A27" s="22" t="s">
        <v>251</v>
      </c>
      <c r="B27" s="22"/>
      <c r="C27" s="23" t="n">
        <f aca="false">SUM(C4:C25)</f>
        <v>-1678631.31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3" min="3" style="0" width="18"/>
    <col collapsed="false" customWidth="true" hidden="false" outlineLevel="0" max="4" min="4" style="0" width="44"/>
    <col collapsed="false" customWidth="true" hidden="false" outlineLevel="0" max="5" min="5" style="0" width="18"/>
    <col collapsed="false" customWidth="true" hidden="false" outlineLevel="0" max="6" min="6" style="0" width="16"/>
  </cols>
  <sheetData>
    <row r="1" customFormat="false" ht="17.35" hidden="false" customHeight="false" outlineLevel="0" collapsed="false">
      <c r="A1" s="1" t="s">
        <v>27</v>
      </c>
    </row>
    <row r="3" customFormat="false" ht="30" hidden="false" customHeight="true" outlineLevel="0" collapsed="false">
      <c r="A3" s="13" t="s">
        <v>274</v>
      </c>
      <c r="B3" s="13" t="s">
        <v>245</v>
      </c>
      <c r="C3" s="13" t="s">
        <v>305</v>
      </c>
      <c r="D3" s="13" t="s">
        <v>302</v>
      </c>
      <c r="E3" s="13" t="s">
        <v>306</v>
      </c>
      <c r="F3" s="13" t="s">
        <v>303</v>
      </c>
    </row>
    <row r="4" customFormat="false" ht="15" hidden="false" customHeight="false" outlineLevel="0" collapsed="false">
      <c r="A4" s="4" t="s">
        <v>297</v>
      </c>
      <c r="B4" s="21" t="n">
        <v>46204</v>
      </c>
      <c r="C4" s="4" t="s">
        <v>307</v>
      </c>
      <c r="D4" s="4" t="s">
        <v>308</v>
      </c>
      <c r="E4" s="4" t="s">
        <v>309</v>
      </c>
      <c r="F4" s="15" t="n">
        <v>-1213.82</v>
      </c>
    </row>
    <row r="5" customFormat="false" ht="15" hidden="false" customHeight="false" outlineLevel="0" collapsed="false">
      <c r="A5" s="2" t="s">
        <v>310</v>
      </c>
      <c r="F5" s="26" t="n">
        <v>0</v>
      </c>
    </row>
    <row r="6" customFormat="false" ht="15" hidden="false" customHeight="false" outlineLevel="0" collapsed="false">
      <c r="A6" s="2" t="s">
        <v>311</v>
      </c>
      <c r="F6" s="26" t="n">
        <f aca="false">SUM(F4:F4)</f>
        <v>-1213.82</v>
      </c>
    </row>
    <row r="7" customFormat="false" ht="15" hidden="false" customHeight="false" outlineLevel="0" collapsed="false">
      <c r="A7" s="22" t="s">
        <v>312</v>
      </c>
      <c r="F7" s="23" t="n">
        <f aca="false">F5+F6</f>
        <v>-1213.82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8" min="2" style="0" width="16"/>
  </cols>
  <sheetData>
    <row r="1" customFormat="false" ht="17.35" hidden="false" customHeight="false" outlineLevel="0" collapsed="false">
      <c r="A1" s="1" t="s">
        <v>313</v>
      </c>
    </row>
    <row r="3" customFormat="false" ht="15" hidden="false" customHeight="false" outlineLevel="0" collapsed="false">
      <c r="A3" s="2" t="s">
        <v>314</v>
      </c>
    </row>
    <row r="4" customFormat="false" ht="15" hidden="false" customHeight="false" outlineLevel="0" collapsed="false">
      <c r="A4" s="27"/>
      <c r="B4" s="27" t="s">
        <v>315</v>
      </c>
      <c r="C4" s="27" t="s">
        <v>316</v>
      </c>
      <c r="D4" s="27" t="s">
        <v>317</v>
      </c>
      <c r="E4" s="27" t="s">
        <v>318</v>
      </c>
      <c r="F4" s="27" t="s">
        <v>319</v>
      </c>
      <c r="G4" s="27" t="s">
        <v>320</v>
      </c>
      <c r="H4" s="27" t="s">
        <v>321</v>
      </c>
    </row>
    <row r="5" customFormat="false" ht="15" hidden="false" customHeight="false" outlineLevel="0" collapsed="false">
      <c r="A5" s="4" t="s">
        <v>71</v>
      </c>
      <c r="B5" s="15" t="n">
        <v>-1759.72</v>
      </c>
      <c r="C5" s="15" t="n">
        <v>-966.12</v>
      </c>
      <c r="D5" s="15" t="n">
        <v>-170</v>
      </c>
      <c r="E5" s="15" t="n">
        <v>-25.61</v>
      </c>
      <c r="F5" s="15" t="n">
        <v>-2.74</v>
      </c>
      <c r="G5" s="15" t="n">
        <v>-9209.44</v>
      </c>
      <c r="H5" s="15" t="n">
        <v>-12133.63</v>
      </c>
    </row>
    <row r="6" customFormat="false" ht="15" hidden="false" customHeight="false" outlineLevel="0" collapsed="false">
      <c r="A6" s="4" t="s">
        <v>322</v>
      </c>
      <c r="B6" s="15" t="n">
        <v>-77822.77</v>
      </c>
      <c r="C6" s="15" t="n">
        <v>-61395.78</v>
      </c>
      <c r="D6" s="15" t="n">
        <v>0</v>
      </c>
      <c r="E6" s="15" t="n">
        <v>-3351.3</v>
      </c>
      <c r="F6" s="15" t="n">
        <v>-3863.23</v>
      </c>
      <c r="G6" s="15" t="n">
        <v>-3.72</v>
      </c>
      <c r="H6" s="15" t="n">
        <v>-146436.8</v>
      </c>
    </row>
    <row r="7" customFormat="false" ht="15" hidden="false" customHeight="false" outlineLevel="0" collapsed="false">
      <c r="A7" s="4" t="s">
        <v>323</v>
      </c>
      <c r="B7" s="15" t="n">
        <v>-6462.97</v>
      </c>
      <c r="C7" s="15" t="n">
        <v>-4125.83</v>
      </c>
      <c r="D7" s="15" t="n">
        <v>0</v>
      </c>
      <c r="E7" s="15" t="n">
        <v>-231.66</v>
      </c>
      <c r="F7" s="15" t="n">
        <v>-32.13</v>
      </c>
      <c r="G7" s="15" t="n">
        <v>-835.02</v>
      </c>
      <c r="H7" s="15" t="n">
        <v>-11687.61</v>
      </c>
    </row>
    <row r="8" customFormat="false" ht="15" hidden="false" customHeight="false" outlineLevel="0" collapsed="false">
      <c r="A8" s="2" t="s">
        <v>321</v>
      </c>
      <c r="B8" s="26" t="n">
        <v>-86045.46</v>
      </c>
      <c r="C8" s="26" t="n">
        <v>-66487.73</v>
      </c>
      <c r="D8" s="26" t="n">
        <v>-170</v>
      </c>
      <c r="E8" s="26" t="n">
        <v>-3608.57</v>
      </c>
      <c r="F8" s="26" t="n">
        <v>-3898.1</v>
      </c>
      <c r="G8" s="26" t="n">
        <v>-10048.18</v>
      </c>
      <c r="H8" s="26" t="n">
        <v>-170258.04</v>
      </c>
    </row>
    <row r="10" customFormat="false" ht="15" hidden="false" customHeight="false" outlineLevel="0" collapsed="false">
      <c r="A10" s="2" t="s">
        <v>324</v>
      </c>
    </row>
    <row r="11" customFormat="false" ht="15" hidden="false" customHeight="false" outlineLevel="0" collapsed="false">
      <c r="A11" s="27" t="s">
        <v>325</v>
      </c>
      <c r="B11" s="27" t="s">
        <v>315</v>
      </c>
      <c r="C11" s="27" t="s">
        <v>316</v>
      </c>
      <c r="D11" s="27" t="s">
        <v>317</v>
      </c>
      <c r="E11" s="27" t="s">
        <v>318</v>
      </c>
      <c r="F11" s="27" t="s">
        <v>319</v>
      </c>
      <c r="G11" s="27" t="s">
        <v>326</v>
      </c>
      <c r="H11" s="27" t="s">
        <v>321</v>
      </c>
    </row>
    <row r="12" customFormat="false" ht="15" hidden="false" customHeight="false" outlineLevel="0" collapsed="false">
      <c r="A12" s="4" t="s">
        <v>71</v>
      </c>
      <c r="B12" s="15" t="n">
        <f aca="false">SUMIFS(FeeDetail!$F$4:$F$360,FeeDetail!$E$4:$E$360,$A12,FeeDetail!$C$4:$C$360,B$11)</f>
        <v>-1759.72</v>
      </c>
      <c r="C12" s="15" t="n">
        <f aca="false">SUMIFS(FeeDetail!$F$4:$F$360,FeeDetail!$E$4:$E$360,$A12,FeeDetail!$C$4:$C$360,C$11)</f>
        <v>-966.12</v>
      </c>
      <c r="D12" s="15" t="n">
        <f aca="false">SUMIFS(FeeDetail!$F$4:$F$360,FeeDetail!$E$4:$E$360,$A12,FeeDetail!$C$4:$C$360,D$11)</f>
        <v>-170</v>
      </c>
      <c r="E12" s="15" t="n">
        <f aca="false">SUMIFS(FeeDetail!$F$4:$F$360,FeeDetail!$E$4:$E$360,$A12,FeeDetail!$C$4:$C$360,E$11)</f>
        <v>-25.61</v>
      </c>
      <c r="F12" s="15" t="n">
        <f aca="false">SUMIFS(FeeDetail!$F$4:$F$360,FeeDetail!$E$4:$E$360,$A12,FeeDetail!$C$4:$C$360,F$11)</f>
        <v>-2.74</v>
      </c>
      <c r="G12" s="15" t="n">
        <f aca="false">SUMIFS(FeeDetail!$F$4:$F$360,FeeDetail!$E$4:$E$360,$A12,FeeDetail!$C$4:$C$360,G$11)</f>
        <v>-9209.44</v>
      </c>
      <c r="H12" s="15" t="n">
        <f aca="false">SUM(B12:G12)</f>
        <v>-12133.63</v>
      </c>
    </row>
    <row r="13" customFormat="false" ht="15" hidden="false" customHeight="false" outlineLevel="0" collapsed="false">
      <c r="A13" s="4" t="s">
        <v>322</v>
      </c>
      <c r="B13" s="15" t="n">
        <f aca="false">SUMIFS(FeeDetail!$F$4:$F$360,FeeDetail!$E$4:$E$360,$A13,FeeDetail!$C$4:$C$360,B$11)</f>
        <v>-77822.77</v>
      </c>
      <c r="C13" s="15" t="n">
        <f aca="false">SUMIFS(FeeDetail!$F$4:$F$360,FeeDetail!$E$4:$E$360,$A13,FeeDetail!$C$4:$C$360,C$11)</f>
        <v>-61395.78</v>
      </c>
      <c r="D13" s="15" t="n">
        <f aca="false">SUMIFS(FeeDetail!$F$4:$F$360,FeeDetail!$E$4:$E$360,$A13,FeeDetail!$C$4:$C$360,D$11)</f>
        <v>0</v>
      </c>
      <c r="E13" s="15" t="n">
        <f aca="false">SUMIFS(FeeDetail!$F$4:$F$360,FeeDetail!$E$4:$E$360,$A13,FeeDetail!$C$4:$C$360,E$11)</f>
        <v>-3351.3</v>
      </c>
      <c r="F13" s="15" t="n">
        <f aca="false">SUMIFS(FeeDetail!$F$4:$F$360,FeeDetail!$E$4:$E$360,$A13,FeeDetail!$C$4:$C$360,F$11)</f>
        <v>-3863.23</v>
      </c>
      <c r="G13" s="15" t="n">
        <f aca="false">SUMIFS(FeeDetail!$F$4:$F$360,FeeDetail!$E$4:$E$360,$A13,FeeDetail!$C$4:$C$360,G$11)</f>
        <v>-3.72</v>
      </c>
      <c r="H13" s="15" t="n">
        <f aca="false">SUM(B13:G13)</f>
        <v>-146436.8</v>
      </c>
    </row>
    <row r="14" customFormat="false" ht="15" hidden="false" customHeight="false" outlineLevel="0" collapsed="false">
      <c r="A14" s="4" t="s">
        <v>323</v>
      </c>
      <c r="B14" s="15" t="n">
        <f aca="false">SUMIFS(FeeDetail!$F$4:$F$360,FeeDetail!$E$4:$E$360,$A14,FeeDetail!$C$4:$C$360,B$11)</f>
        <v>-6462.97</v>
      </c>
      <c r="C14" s="15" t="n">
        <f aca="false">SUMIFS(FeeDetail!$F$4:$F$360,FeeDetail!$E$4:$E$360,$A14,FeeDetail!$C$4:$C$360,C$11)</f>
        <v>-4125.83</v>
      </c>
      <c r="D14" s="15" t="n">
        <f aca="false">SUMIFS(FeeDetail!$F$4:$F$360,FeeDetail!$E$4:$E$360,$A14,FeeDetail!$C$4:$C$360,D$11)</f>
        <v>0</v>
      </c>
      <c r="E14" s="15" t="n">
        <f aca="false">SUMIFS(FeeDetail!$F$4:$F$360,FeeDetail!$E$4:$E$360,$A14,FeeDetail!$C$4:$C$360,E$11)</f>
        <v>-231.66</v>
      </c>
      <c r="F14" s="15" t="n">
        <f aca="false">SUMIFS(FeeDetail!$F$4:$F$360,FeeDetail!$E$4:$E$360,$A14,FeeDetail!$C$4:$C$360,F$11)</f>
        <v>-32.13</v>
      </c>
      <c r="G14" s="15" t="n">
        <f aca="false">SUMIFS(FeeDetail!$F$4:$F$360,FeeDetail!$E$4:$E$360,$A14,FeeDetail!$C$4:$C$360,G$11)</f>
        <v>-835.02</v>
      </c>
      <c r="H14" s="15" t="n">
        <f aca="false">SUM(B14:G14)</f>
        <v>-11687.61</v>
      </c>
    </row>
    <row r="15" customFormat="false" ht="15" hidden="false" customHeight="false" outlineLevel="0" collapsed="false">
      <c r="A15" s="2" t="s">
        <v>321</v>
      </c>
      <c r="B15" s="26" t="n">
        <f aca="false">SUM(B12:B14)</f>
        <v>-86045.46</v>
      </c>
      <c r="C15" s="26" t="n">
        <f aca="false">SUM(C12:C14)</f>
        <v>-66487.73</v>
      </c>
      <c r="D15" s="26" t="n">
        <f aca="false">SUM(D12:D14)</f>
        <v>-170</v>
      </c>
      <c r="E15" s="26" t="n">
        <f aca="false">SUM(E12:E14)</f>
        <v>-3608.57</v>
      </c>
      <c r="F15" s="26" t="n">
        <f aca="false">SUM(F12:F14)</f>
        <v>-3898.1</v>
      </c>
      <c r="G15" s="26" t="n">
        <f aca="false">SUM(G12:G14)</f>
        <v>-10048.18</v>
      </c>
      <c r="H15" s="26" t="n">
        <f aca="false">SUM(H12:H14)</f>
        <v>-170258.04</v>
      </c>
    </row>
    <row r="17" customFormat="false" ht="15" hidden="false" customHeight="false" outlineLevel="0" collapsed="false">
      <c r="A17" s="2" t="s">
        <v>327</v>
      </c>
    </row>
    <row r="18" customFormat="false" ht="15" hidden="false" customHeight="false" outlineLevel="0" collapsed="false">
      <c r="A18" s="4" t="s">
        <v>71</v>
      </c>
      <c r="B18" s="15" t="n">
        <f aca="false">ROUND(B12-B5,2)</f>
        <v>0</v>
      </c>
      <c r="C18" s="15" t="n">
        <f aca="false">ROUND(C12-C5,2)</f>
        <v>0</v>
      </c>
      <c r="D18" s="15" t="n">
        <f aca="false">ROUND(D12-D5,2)</f>
        <v>0</v>
      </c>
      <c r="E18" s="15" t="n">
        <f aca="false">ROUND(E12-E5,2)</f>
        <v>0</v>
      </c>
      <c r="F18" s="15" t="n">
        <f aca="false">ROUND(F12-F5,2)</f>
        <v>0</v>
      </c>
      <c r="G18" s="15" t="n">
        <f aca="false">ROUND(G12-G5,2)</f>
        <v>0</v>
      </c>
      <c r="H18" s="15" t="n">
        <f aca="false">ROUND(H12-H5,2)</f>
        <v>0</v>
      </c>
    </row>
    <row r="19" customFormat="false" ht="15" hidden="false" customHeight="false" outlineLevel="0" collapsed="false">
      <c r="A19" s="4" t="s">
        <v>322</v>
      </c>
      <c r="B19" s="15" t="n">
        <f aca="false">ROUND(B13-B6,2)</f>
        <v>0</v>
      </c>
      <c r="C19" s="15" t="n">
        <f aca="false">ROUND(C13-C6,2)</f>
        <v>0</v>
      </c>
      <c r="D19" s="15" t="n">
        <f aca="false">ROUND(D13-D6,2)</f>
        <v>0</v>
      </c>
      <c r="E19" s="15" t="n">
        <f aca="false">ROUND(E13-E6,2)</f>
        <v>0</v>
      </c>
      <c r="F19" s="15" t="n">
        <f aca="false">ROUND(F13-F6,2)</f>
        <v>0</v>
      </c>
      <c r="G19" s="15" t="n">
        <f aca="false">ROUND(G13-G6,2)</f>
        <v>0</v>
      </c>
      <c r="H19" s="15" t="n">
        <f aca="false">ROUND(H13-H6,2)</f>
        <v>0</v>
      </c>
    </row>
    <row r="20" customFormat="false" ht="15" hidden="false" customHeight="false" outlineLevel="0" collapsed="false">
      <c r="A20" s="4" t="s">
        <v>323</v>
      </c>
      <c r="B20" s="15" t="n">
        <f aca="false">ROUND(B14-B7,2)</f>
        <v>0</v>
      </c>
      <c r="C20" s="15" t="n">
        <f aca="false">ROUND(C14-C7,2)</f>
        <v>0</v>
      </c>
      <c r="D20" s="15" t="n">
        <f aca="false">ROUND(D14-D7,2)</f>
        <v>0</v>
      </c>
      <c r="E20" s="15" t="n">
        <f aca="false">ROUND(E14-E7,2)</f>
        <v>0</v>
      </c>
      <c r="F20" s="15" t="n">
        <f aca="false">ROUND(F14-F7,2)</f>
        <v>0</v>
      </c>
      <c r="G20" s="15" t="n">
        <f aca="false">ROUND(G14-G7,2)</f>
        <v>0</v>
      </c>
      <c r="H20" s="15" t="n">
        <f aca="false">ROUND(H14-H7,2)</f>
        <v>0</v>
      </c>
    </row>
    <row r="21" customFormat="false" ht="15" hidden="false" customHeight="false" outlineLevel="0" collapsed="false">
      <c r="A21" s="4" t="s">
        <v>321</v>
      </c>
      <c r="B21" s="15" t="n">
        <f aca="false">ROUND(B15-B8,2)</f>
        <v>0</v>
      </c>
      <c r="C21" s="15" t="n">
        <f aca="false">ROUND(C15-C8,2)</f>
        <v>0</v>
      </c>
      <c r="D21" s="15" t="n">
        <f aca="false">ROUND(D15-D8,2)</f>
        <v>0</v>
      </c>
      <c r="E21" s="15" t="n">
        <f aca="false">ROUND(E15-E8,2)</f>
        <v>0</v>
      </c>
      <c r="F21" s="15" t="n">
        <f aca="false">ROUND(F15-F8,2)</f>
        <v>0</v>
      </c>
      <c r="G21" s="15" t="n">
        <f aca="false">ROUND(G15-G8,2)</f>
        <v>0</v>
      </c>
      <c r="H21" s="15" t="n">
        <f aca="false">ROUND(H15-H8,2)</f>
        <v>0</v>
      </c>
    </row>
    <row r="23" customFormat="false" ht="15" hidden="false" customHeight="false" outlineLevel="0" collapsed="false">
      <c r="A23" s="2" t="s">
        <v>328</v>
      </c>
    </row>
    <row r="24" customFormat="false" ht="15" hidden="false" customHeight="false" outlineLevel="0" collapsed="false">
      <c r="A24" s="27" t="s">
        <v>329</v>
      </c>
      <c r="B24" s="27" t="s">
        <v>330</v>
      </c>
      <c r="C24" s="27" t="s">
        <v>98</v>
      </c>
      <c r="D24" s="27" t="s">
        <v>75</v>
      </c>
    </row>
    <row r="25" customFormat="false" ht="15" hidden="false" customHeight="false" outlineLevel="0" collapsed="false">
      <c r="A25" s="4" t="s">
        <v>331</v>
      </c>
      <c r="B25" s="15" t="n">
        <v>-9375.7</v>
      </c>
      <c r="C25" s="15" t="n">
        <f aca="false">SUMIFS(FeeDetail!$F$4:$F$360,FeeDetail!$B$4:$B$360,A25)</f>
        <v>-9375.7</v>
      </c>
      <c r="D25" s="15" t="n">
        <f aca="false">ROUND(C25-B25,2)</f>
        <v>0</v>
      </c>
    </row>
    <row r="26" customFormat="false" ht="15" hidden="false" customHeight="false" outlineLevel="0" collapsed="false">
      <c r="A26" s="4" t="s">
        <v>332</v>
      </c>
      <c r="B26" s="15" t="n">
        <v>-3863.23</v>
      </c>
      <c r="C26" s="15" t="n">
        <f aca="false">SUMIFS(FeeDetail!$F$4:$F$360,FeeDetail!$B$4:$B$360,A26)</f>
        <v>-3863.23</v>
      </c>
      <c r="D26" s="15" t="n">
        <f aca="false">ROUND(C26-B26,2)</f>
        <v>0</v>
      </c>
    </row>
    <row r="27" customFormat="false" ht="15" hidden="false" customHeight="false" outlineLevel="0" collapsed="false">
      <c r="A27" s="4" t="s">
        <v>333</v>
      </c>
      <c r="B27" s="15" t="n">
        <v>-4.9</v>
      </c>
      <c r="C27" s="15" t="n">
        <f aca="false">SUMIFS(FeeDetail!$F$4:$F$360,FeeDetail!$B$4:$B$360,A27)</f>
        <v>-4.9</v>
      </c>
      <c r="D27" s="15" t="n">
        <f aca="false">ROUND(C27-B27,2)</f>
        <v>0</v>
      </c>
    </row>
    <row r="28" customFormat="false" ht="15" hidden="false" customHeight="false" outlineLevel="0" collapsed="false">
      <c r="A28" s="4" t="s">
        <v>334</v>
      </c>
      <c r="B28" s="15" t="n">
        <v>-157014.21</v>
      </c>
      <c r="C28" s="15" t="n">
        <f aca="false">SUMIFS(FeeDetail!$F$4:$F$360,FeeDetail!$B$4:$B$360,A28)</f>
        <v>-157014.21</v>
      </c>
      <c r="D28" s="15" t="n">
        <f aca="false">ROUND(C28-B28,2)</f>
        <v>0</v>
      </c>
    </row>
    <row r="29" customFormat="false" ht="15" hidden="false" customHeight="false" outlineLevel="0" collapsed="false">
      <c r="A29" s="2" t="s">
        <v>321</v>
      </c>
      <c r="B29" s="26" t="n">
        <f aca="false">SUM(B25:B28)</f>
        <v>-170258.04</v>
      </c>
      <c r="C29" s="26" t="n">
        <f aca="false">SUM(C25:C28)</f>
        <v>-170258.04</v>
      </c>
      <c r="D29" s="26" t="n">
        <f aca="false">ROUND(C29-B29,2)</f>
        <v>0</v>
      </c>
    </row>
    <row r="31" customFormat="false" ht="15" hidden="false" customHeight="false" outlineLevel="0" collapsed="false">
      <c r="A31" s="2" t="s">
        <v>335</v>
      </c>
    </row>
    <row r="32" customFormat="false" ht="23.85" hidden="false" customHeight="false" outlineLevel="0" collapsed="false">
      <c r="A32" s="28" t="s">
        <v>336</v>
      </c>
      <c r="B32" s="28" t="s">
        <v>42</v>
      </c>
      <c r="C32" s="28" t="s">
        <v>337</v>
      </c>
      <c r="D32" s="28" t="s">
        <v>75</v>
      </c>
    </row>
    <row r="33" customFormat="false" ht="15" hidden="false" customHeight="false" outlineLevel="0" collapsed="false">
      <c r="A33" s="4" t="s">
        <v>71</v>
      </c>
      <c r="B33" s="15" t="n">
        <v>-12133.63</v>
      </c>
      <c r="C33" s="15" t="n">
        <f aca="false">SUMIFS(FeeDetail!$F$4:$F$360,FeeDetail!$E$4:$E$360,"Fees")</f>
        <v>-12133.63</v>
      </c>
      <c r="D33" s="15" t="n">
        <f aca="false">ROUND(C33-B33,2)</f>
        <v>0</v>
      </c>
    </row>
    <row r="34" customFormat="false" ht="15" hidden="false" customHeight="false" outlineLevel="0" collapsed="false">
      <c r="A34" s="4" t="s">
        <v>338</v>
      </c>
      <c r="B34" s="15" t="n">
        <v>-146436.8</v>
      </c>
      <c r="C34" s="15" t="n">
        <f aca="false">SUMIFS(FeeDetail!$F$4:$F$360,FeeDetail!$E$4:$E$360,"Interchange Charges")</f>
        <v>-146436.8</v>
      </c>
      <c r="D34" s="15" t="n">
        <f aca="false">ROUND(C34-B34,2)</f>
        <v>0</v>
      </c>
    </row>
    <row r="35" customFormat="false" ht="15" hidden="false" customHeight="false" outlineLevel="0" collapsed="false">
      <c r="A35" s="4" t="s">
        <v>323</v>
      </c>
      <c r="B35" s="15" t="n">
        <v>-11687.61</v>
      </c>
      <c r="C35" s="15" t="n">
        <f aca="false">SUMIFS(FeeDetail!$F$4:$F$360,FeeDetail!$E$4:$E$360,"Service Charges")</f>
        <v>-11687.61</v>
      </c>
      <c r="D35" s="15" t="n">
        <f aca="false">ROUND(C35-B35,2)</f>
        <v>0</v>
      </c>
    </row>
    <row r="36" customFormat="false" ht="15" hidden="false" customHeight="false" outlineLevel="0" collapsed="false">
      <c r="A36" s="2" t="s">
        <v>339</v>
      </c>
      <c r="B36" s="26" t="n">
        <v>-170258.04</v>
      </c>
      <c r="C36" s="26" t="n">
        <f aca="false">SUM(C33:C35)</f>
        <v>-170258.04</v>
      </c>
      <c r="D36" s="26" t="n">
        <f aca="false">ROUND(C36-B36,2)</f>
        <v>0</v>
      </c>
    </row>
    <row r="38" customFormat="false" ht="15" hidden="false" customHeight="false" outlineLevel="0" collapsed="false">
      <c r="A38" s="2" t="s">
        <v>340</v>
      </c>
    </row>
    <row r="39" customFormat="false" ht="15" hidden="false" customHeight="false" outlineLevel="0" collapsed="false">
      <c r="A39" s="29" t="s">
        <v>341</v>
      </c>
      <c r="B39" s="15" t="n">
        <f aca="false">Interchange!D152</f>
        <v>-132608.12</v>
      </c>
    </row>
    <row r="40" customFormat="false" ht="15" hidden="false" customHeight="false" outlineLevel="0" collapsed="false">
      <c r="A40" s="29" t="s">
        <v>342</v>
      </c>
      <c r="B40" s="15" t="n">
        <f aca="false">SUMIFS(FeeDetail!$F$4:$F$360,FeeDetail!$M$4:$M$360,"Y")</f>
        <v>-9965.45</v>
      </c>
    </row>
    <row r="41" customFormat="false" ht="27.75" hidden="false" customHeight="true" outlineLevel="0" collapsed="false">
      <c r="A41" s="29" t="s">
        <v>343</v>
      </c>
      <c r="B41" s="15" t="n">
        <f aca="false">SUMIFS(FeeDetail!$F$4:$F$360,FeeDetail!$B$4:$B$360,"Debit Fees")</f>
        <v>-3863.23</v>
      </c>
    </row>
    <row r="42" customFormat="false" ht="15" hidden="false" customHeight="false" outlineLevel="0" collapsed="false">
      <c r="A42" s="2" t="s">
        <v>344</v>
      </c>
      <c r="B42" s="26" t="n">
        <f aca="false">SUM(B39:B41)</f>
        <v>-146436.8</v>
      </c>
    </row>
    <row r="43" customFormat="false" ht="15" hidden="false" customHeight="false" outlineLevel="0" collapsed="false">
      <c r="A43" s="4" t="s">
        <v>345</v>
      </c>
      <c r="B43" s="15" t="n">
        <f aca="false">B34</f>
        <v>-146436.8</v>
      </c>
    </row>
    <row r="44" customFormat="false" ht="15" hidden="false" customHeight="false" outlineLevel="0" collapsed="false">
      <c r="A44" s="2" t="s">
        <v>75</v>
      </c>
      <c r="B44" s="26" t="n">
        <f aca="false">ROUND(B42-B43,2)</f>
        <v>0</v>
      </c>
    </row>
    <row r="46" customFormat="false" ht="15" hidden="false" customHeight="false" outlineLevel="0" collapsed="false">
      <c r="A46" s="2" t="s">
        <v>346</v>
      </c>
    </row>
    <row r="47" customFormat="false" ht="23.85" hidden="false" customHeight="false" outlineLevel="0" collapsed="false">
      <c r="A47" s="28" t="s">
        <v>347</v>
      </c>
      <c r="B47" s="28" t="s">
        <v>216</v>
      </c>
      <c r="C47" s="28" t="s">
        <v>348</v>
      </c>
      <c r="D47" s="28" t="s">
        <v>349</v>
      </c>
      <c r="E47" s="28" t="s">
        <v>350</v>
      </c>
      <c r="F47" s="28" t="s">
        <v>75</v>
      </c>
    </row>
    <row r="48" customFormat="false" ht="15" hidden="false" customHeight="false" outlineLevel="0" collapsed="false">
      <c r="A48" s="4" t="s">
        <v>316</v>
      </c>
      <c r="B48" s="15" t="n">
        <f aca="false">Interchange!D147</f>
        <v>-57499.26</v>
      </c>
      <c r="C48" s="15" t="n">
        <f aca="false">SUMIFS(FeeDetail!$F$4:$F$360,FeeDetail!$M$4:$M$360,"Y",FeeDetail!$C$4:$C$360,A48)</f>
        <v>-3896.52</v>
      </c>
      <c r="D48" s="15" t="n">
        <f aca="false">B48+C48</f>
        <v>-61395.78</v>
      </c>
      <c r="E48" s="15" t="n">
        <f aca="false">C6</f>
        <v>-61395.78</v>
      </c>
      <c r="F48" s="15" t="n">
        <f aca="false">ROUND(D48-E48,2)</f>
        <v>0</v>
      </c>
    </row>
    <row r="49" customFormat="false" ht="15" hidden="false" customHeight="false" outlineLevel="0" collapsed="false">
      <c r="A49" s="4" t="s">
        <v>315</v>
      </c>
      <c r="B49" s="15" t="n">
        <f aca="false">Interchange!D148</f>
        <v>-71973.26</v>
      </c>
      <c r="C49" s="15" t="n">
        <f aca="false">SUMIFS(FeeDetail!$F$4:$F$360,FeeDetail!$M$4:$M$360,"Y",FeeDetail!$C$4:$C$360,A49)</f>
        <v>-5849.51</v>
      </c>
      <c r="D49" s="15" t="n">
        <f aca="false">B49+C49</f>
        <v>-77822.77</v>
      </c>
      <c r="E49" s="15" t="n">
        <f aca="false">B6</f>
        <v>-77822.77</v>
      </c>
      <c r="F49" s="15" t="n">
        <f aca="false">ROUND(D49-E49,2)</f>
        <v>0</v>
      </c>
    </row>
    <row r="50" customFormat="false" ht="15" hidden="false" customHeight="false" outlineLevel="0" collapsed="false">
      <c r="A50" s="4" t="s">
        <v>318</v>
      </c>
      <c r="B50" s="15" t="n">
        <f aca="false">Interchange!D149</f>
        <v>-3135.6</v>
      </c>
      <c r="C50" s="15" t="n">
        <f aca="false">SUMIFS(FeeDetail!$F$4:$F$360,FeeDetail!$M$4:$M$360,"Y",FeeDetail!$C$4:$C$360,A50)</f>
        <v>-215.7</v>
      </c>
      <c r="D50" s="15" t="n">
        <f aca="false">B50+C50</f>
        <v>-3351.3</v>
      </c>
      <c r="E50" s="15" t="n">
        <f aca="false">E6</f>
        <v>-3351.3</v>
      </c>
      <c r="F50" s="15" t="n">
        <f aca="false">ROUND(D50-E50,2)</f>
        <v>0</v>
      </c>
    </row>
    <row r="52" customFormat="false" ht="15" hidden="false" customHeight="false" outlineLevel="0" collapsed="false">
      <c r="A52" s="2" t="s">
        <v>351</v>
      </c>
    </row>
    <row r="53" customFormat="false" ht="35.05" hidden="false" customHeight="false" outlineLevel="0" collapsed="false">
      <c r="A53" s="28" t="s">
        <v>336</v>
      </c>
      <c r="B53" s="28" t="s">
        <v>352</v>
      </c>
      <c r="C53" s="28" t="s">
        <v>353</v>
      </c>
      <c r="D53" s="28" t="s">
        <v>354</v>
      </c>
    </row>
    <row r="54" customFormat="false" ht="15" hidden="false" customHeight="false" outlineLevel="0" collapsed="false">
      <c r="A54" s="4" t="s">
        <v>71</v>
      </c>
      <c r="B54" s="16" t="n">
        <v>0.0713</v>
      </c>
      <c r="C54" s="16" t="n">
        <f aca="false">B33/$B$36</f>
        <v>0.0712661205309306</v>
      </c>
      <c r="D54" s="24" t="n">
        <f aca="false">ROUND(ROUND(C54,4)-B54,4)</f>
        <v>0</v>
      </c>
    </row>
    <row r="55" customFormat="false" ht="15" hidden="false" customHeight="false" outlineLevel="0" collapsed="false">
      <c r="A55" s="4" t="s">
        <v>355</v>
      </c>
      <c r="B55" s="16" t="n">
        <v>0.8601</v>
      </c>
      <c r="C55" s="16" t="n">
        <f aca="false">B34/$B$36</f>
        <v>0.860087429645026</v>
      </c>
      <c r="D55" s="24" t="n">
        <f aca="false">ROUND(ROUND(C55,4)-B55,4)</f>
        <v>0</v>
      </c>
    </row>
    <row r="56" customFormat="false" ht="15" hidden="false" customHeight="false" outlineLevel="0" collapsed="false">
      <c r="A56" s="4" t="s">
        <v>323</v>
      </c>
      <c r="B56" s="16" t="n">
        <v>0.0686</v>
      </c>
      <c r="C56" s="16" t="n">
        <f aca="false">B35/$B$36</f>
        <v>0.0686464498240436</v>
      </c>
      <c r="D56" s="24" t="n">
        <f aca="false">ROUND(ROUND(C56,4)-B56,4)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15"/>
    <col collapsed="false" customWidth="true" hidden="false" outlineLevel="0" max="4" min="4" style="0" width="62"/>
    <col collapsed="false" customWidth="true" hidden="false" outlineLevel="0" max="5" min="5" style="0" width="20"/>
    <col collapsed="false" customWidth="true" hidden="false" outlineLevel="0" max="7" min="6" style="0" width="14"/>
    <col collapsed="false" customWidth="true" hidden="false" outlineLevel="0" max="8" min="8" style="0" width="16"/>
    <col collapsed="false" customWidth="true" hidden="false" outlineLevel="0" max="9" min="9" style="0" width="12"/>
    <col collapsed="false" customWidth="true" hidden="false" outlineLevel="0" max="10" min="10" style="0" width="14"/>
    <col collapsed="false" customWidth="true" hidden="false" outlineLevel="0" max="11" min="11" style="0" width="12"/>
    <col collapsed="false" customWidth="true" hidden="false" outlineLevel="0" max="12" min="12" style="0" width="22"/>
    <col collapsed="false" customWidth="true" hidden="false" outlineLevel="0" max="13" min="13" style="0" width="24"/>
  </cols>
  <sheetData>
    <row r="1" customFormat="false" ht="17.35" hidden="false" customHeight="false" outlineLevel="0" collapsed="false">
      <c r="A1" s="1" t="s">
        <v>356</v>
      </c>
    </row>
    <row r="2" customFormat="false" ht="15" hidden="false" customHeight="false" outlineLevel="0" collapsed="false">
      <c r="A2" s="8" t="s">
        <v>357</v>
      </c>
    </row>
    <row r="3" customFormat="false" ht="30" hidden="false" customHeight="true" outlineLevel="0" collapsed="false">
      <c r="A3" s="13" t="s">
        <v>94</v>
      </c>
      <c r="B3" s="13" t="s">
        <v>329</v>
      </c>
      <c r="C3" s="13" t="s">
        <v>358</v>
      </c>
      <c r="D3" s="13" t="s">
        <v>302</v>
      </c>
      <c r="E3" s="13" t="s">
        <v>181</v>
      </c>
      <c r="F3" s="13" t="s">
        <v>303</v>
      </c>
      <c r="G3" s="13" t="s">
        <v>359</v>
      </c>
      <c r="H3" s="13" t="s">
        <v>360</v>
      </c>
      <c r="I3" s="13" t="s">
        <v>361</v>
      </c>
      <c r="J3" s="13" t="s">
        <v>353</v>
      </c>
      <c r="K3" s="13" t="s">
        <v>362</v>
      </c>
      <c r="L3" s="13" t="s">
        <v>363</v>
      </c>
      <c r="M3" s="13" t="s">
        <v>364</v>
      </c>
    </row>
    <row r="4" customFormat="false" ht="15" hidden="false" customHeight="false" outlineLevel="0" collapsed="false">
      <c r="A4" s="18" t="n">
        <v>1</v>
      </c>
      <c r="B4" s="4" t="s">
        <v>331</v>
      </c>
      <c r="C4" s="4" t="s">
        <v>326</v>
      </c>
      <c r="D4" s="4" t="s">
        <v>365</v>
      </c>
      <c r="E4" s="4" t="s">
        <v>71</v>
      </c>
      <c r="F4" s="15" t="n">
        <v>-27.5</v>
      </c>
    </row>
    <row r="5" customFormat="false" ht="15" hidden="false" customHeight="false" outlineLevel="0" collapsed="false">
      <c r="A5" s="18" t="n">
        <v>2</v>
      </c>
      <c r="B5" s="4" t="s">
        <v>331</v>
      </c>
      <c r="C5" s="4" t="s">
        <v>326</v>
      </c>
      <c r="D5" s="4" t="s">
        <v>366</v>
      </c>
      <c r="E5" s="4" t="s">
        <v>71</v>
      </c>
      <c r="F5" s="15" t="n">
        <v>-0.07</v>
      </c>
    </row>
    <row r="6" customFormat="false" ht="15" hidden="false" customHeight="false" outlineLevel="0" collapsed="false">
      <c r="A6" s="18" t="n">
        <v>3</v>
      </c>
      <c r="B6" s="4" t="s">
        <v>331</v>
      </c>
      <c r="C6" s="4" t="s">
        <v>326</v>
      </c>
      <c r="D6" s="4" t="s">
        <v>367</v>
      </c>
      <c r="E6" s="4" t="s">
        <v>71</v>
      </c>
      <c r="F6" s="15" t="n">
        <v>-0.04</v>
      </c>
      <c r="G6" s="4" t="s">
        <v>368</v>
      </c>
      <c r="H6" s="30" t="n">
        <v>411.57</v>
      </c>
      <c r="I6" s="31" t="n">
        <v>0.0001</v>
      </c>
      <c r="J6" s="15" t="n">
        <f aca="false">-ROUND(H6*I6,2)</f>
        <v>-0.04</v>
      </c>
      <c r="K6" s="15" t="n">
        <f aca="false">ROUND(J6-F6,2)</f>
        <v>0</v>
      </c>
      <c r="L6" s="4" t="str">
        <f aca="false">IF(ABS(K6)&lt;0.005,"OK",IF(ABS(K6)&lt;=0.11,"Rounding / minimum fee","REVIEW"))</f>
        <v>OK</v>
      </c>
    </row>
    <row r="7" customFormat="false" ht="15" hidden="false" customHeight="false" outlineLevel="0" collapsed="false">
      <c r="A7" s="18" t="n">
        <v>4</v>
      </c>
      <c r="B7" s="4" t="s">
        <v>331</v>
      </c>
      <c r="C7" s="4" t="s">
        <v>326</v>
      </c>
      <c r="D7" s="4" t="s">
        <v>369</v>
      </c>
      <c r="E7" s="4" t="s">
        <v>71</v>
      </c>
      <c r="F7" s="15" t="n">
        <v>-0.04</v>
      </c>
      <c r="G7" s="4" t="s">
        <v>368</v>
      </c>
      <c r="H7" s="30" t="n">
        <v>410.67</v>
      </c>
      <c r="I7" s="31" t="n">
        <v>0.0001</v>
      </c>
      <c r="J7" s="15" t="n">
        <f aca="false">-ROUND(H7*I7,2)</f>
        <v>-0.04</v>
      </c>
      <c r="K7" s="15" t="n">
        <f aca="false">ROUND(J7-F7,2)</f>
        <v>0</v>
      </c>
      <c r="L7" s="4" t="str">
        <f aca="false">IF(ABS(K7)&lt;0.005,"OK",IF(ABS(K7)&lt;=0.11,"Rounding / minimum fee","REVIEW"))</f>
        <v>OK</v>
      </c>
    </row>
    <row r="8" customFormat="false" ht="15" hidden="false" customHeight="false" outlineLevel="0" collapsed="false">
      <c r="A8" s="18" t="n">
        <v>5</v>
      </c>
      <c r="B8" s="4" t="s">
        <v>331</v>
      </c>
      <c r="C8" s="4" t="s">
        <v>326</v>
      </c>
      <c r="D8" s="4" t="s">
        <v>370</v>
      </c>
      <c r="E8" s="4" t="s">
        <v>71</v>
      </c>
      <c r="F8" s="15" t="n">
        <v>-343.85</v>
      </c>
    </row>
    <row r="9" customFormat="false" ht="15" hidden="false" customHeight="false" outlineLevel="0" collapsed="false">
      <c r="A9" s="18" t="n">
        <v>6</v>
      </c>
      <c r="B9" s="4" t="s">
        <v>331</v>
      </c>
      <c r="C9" s="4" t="s">
        <v>326</v>
      </c>
      <c r="D9" s="4" t="s">
        <v>371</v>
      </c>
      <c r="E9" s="4" t="s">
        <v>71</v>
      </c>
      <c r="F9" s="15" t="n">
        <v>-0.12</v>
      </c>
      <c r="G9" s="4" t="s">
        <v>368</v>
      </c>
      <c r="H9" s="30" t="n">
        <v>1240.97</v>
      </c>
      <c r="I9" s="31" t="n">
        <v>0.0001</v>
      </c>
      <c r="J9" s="15" t="n">
        <f aca="false">-ROUND(H9*I9,2)</f>
        <v>-0.12</v>
      </c>
      <c r="K9" s="15" t="n">
        <f aca="false">ROUND(J9-F9,2)</f>
        <v>0</v>
      </c>
      <c r="L9" s="4" t="str">
        <f aca="false">IF(ABS(K9)&lt;0.005,"OK",IF(ABS(K9)&lt;=0.11,"Rounding / minimum fee","REVIEW"))</f>
        <v>OK</v>
      </c>
    </row>
    <row r="10" customFormat="false" ht="15" hidden="false" customHeight="false" outlineLevel="0" collapsed="false">
      <c r="A10" s="18" t="n">
        <v>7</v>
      </c>
      <c r="B10" s="4" t="s">
        <v>331</v>
      </c>
      <c r="C10" s="4" t="s">
        <v>326</v>
      </c>
      <c r="D10" s="4" t="s">
        <v>372</v>
      </c>
      <c r="E10" s="4" t="s">
        <v>71</v>
      </c>
      <c r="F10" s="15" t="n">
        <v>-6899.77</v>
      </c>
    </row>
    <row r="11" customFormat="false" ht="15" hidden="false" customHeight="false" outlineLevel="0" collapsed="false">
      <c r="A11" s="18" t="n">
        <v>8</v>
      </c>
      <c r="B11" s="4" t="s">
        <v>331</v>
      </c>
      <c r="C11" s="4" t="s">
        <v>326</v>
      </c>
      <c r="D11" s="4" t="s">
        <v>373</v>
      </c>
      <c r="E11" s="4" t="s">
        <v>71</v>
      </c>
      <c r="F11" s="15" t="n">
        <v>-0.03</v>
      </c>
    </row>
    <row r="12" customFormat="false" ht="15" hidden="false" customHeight="false" outlineLevel="0" collapsed="false">
      <c r="A12" s="18" t="n">
        <v>9</v>
      </c>
      <c r="B12" s="4" t="s">
        <v>331</v>
      </c>
      <c r="C12" s="4" t="s">
        <v>326</v>
      </c>
      <c r="D12" s="4" t="s">
        <v>374</v>
      </c>
      <c r="E12" s="4" t="s">
        <v>71</v>
      </c>
      <c r="F12" s="15" t="n">
        <v>-8.38</v>
      </c>
    </row>
    <row r="13" customFormat="false" ht="15" hidden="false" customHeight="false" outlineLevel="0" collapsed="false">
      <c r="A13" s="18" t="n">
        <v>10</v>
      </c>
      <c r="B13" s="4" t="s">
        <v>331</v>
      </c>
      <c r="C13" s="4" t="s">
        <v>326</v>
      </c>
      <c r="D13" s="4" t="s">
        <v>375</v>
      </c>
      <c r="E13" s="4" t="s">
        <v>71</v>
      </c>
      <c r="F13" s="15" t="n">
        <v>-35</v>
      </c>
      <c r="G13" s="4" t="s">
        <v>376</v>
      </c>
      <c r="H13" s="30" t="n">
        <v>1</v>
      </c>
      <c r="I13" s="31" t="n">
        <v>35</v>
      </c>
      <c r="J13" s="15" t="n">
        <f aca="false">-ROUND(H13*I13,2)</f>
        <v>-35</v>
      </c>
      <c r="K13" s="15" t="n">
        <f aca="false">ROUND(J13-F13,2)</f>
        <v>0</v>
      </c>
      <c r="L13" s="4" t="str">
        <f aca="false">IF(ABS(K13)&lt;0.005,"OK",IF(ABS(K13)&lt;=0.11,"Rounding / minimum fee","REVIEW"))</f>
        <v>OK</v>
      </c>
    </row>
    <row r="14" customFormat="false" ht="15" hidden="false" customHeight="false" outlineLevel="0" collapsed="false">
      <c r="A14" s="18" t="n">
        <v>11</v>
      </c>
      <c r="B14" s="4" t="s">
        <v>331</v>
      </c>
      <c r="C14" s="4" t="s">
        <v>326</v>
      </c>
      <c r="D14" s="4" t="s">
        <v>377</v>
      </c>
      <c r="E14" s="4" t="s">
        <v>71</v>
      </c>
      <c r="F14" s="15" t="n">
        <v>-25</v>
      </c>
    </row>
    <row r="15" customFormat="false" ht="15" hidden="false" customHeight="false" outlineLevel="0" collapsed="false">
      <c r="A15" s="18" t="n">
        <v>12</v>
      </c>
      <c r="B15" s="4" t="s">
        <v>331</v>
      </c>
      <c r="C15" s="4" t="s">
        <v>326</v>
      </c>
      <c r="D15" s="4" t="s">
        <v>378</v>
      </c>
      <c r="E15" s="4" t="s">
        <v>71</v>
      </c>
      <c r="F15" s="15" t="n">
        <v>-0.02</v>
      </c>
      <c r="G15" s="4" t="s">
        <v>368</v>
      </c>
      <c r="H15" s="30" t="n">
        <v>209.79</v>
      </c>
      <c r="I15" s="31" t="n">
        <v>0.0001</v>
      </c>
      <c r="J15" s="15" t="n">
        <f aca="false">-ROUND(H15*I15,2)</f>
        <v>-0.02</v>
      </c>
      <c r="K15" s="15" t="n">
        <f aca="false">ROUND(J15-F15,2)</f>
        <v>0</v>
      </c>
      <c r="L15" s="4" t="str">
        <f aca="false">IF(ABS(K15)&lt;0.005,"OK",IF(ABS(K15)&lt;=0.11,"Rounding / minimum fee","REVIEW"))</f>
        <v>OK</v>
      </c>
    </row>
    <row r="16" customFormat="false" ht="15" hidden="false" customHeight="false" outlineLevel="0" collapsed="false">
      <c r="A16" s="18" t="n">
        <v>13</v>
      </c>
      <c r="B16" s="4" t="s">
        <v>331</v>
      </c>
      <c r="C16" s="4" t="s">
        <v>326</v>
      </c>
      <c r="D16" s="4" t="s">
        <v>379</v>
      </c>
      <c r="E16" s="4" t="s">
        <v>71</v>
      </c>
      <c r="F16" s="15" t="n">
        <v>-0.11</v>
      </c>
      <c r="G16" s="4" t="s">
        <v>368</v>
      </c>
      <c r="H16" s="30" t="n">
        <v>1108.95</v>
      </c>
      <c r="I16" s="31" t="n">
        <v>0.0001</v>
      </c>
      <c r="J16" s="15" t="n">
        <f aca="false">-ROUND(H16*I16,2)</f>
        <v>-0.11</v>
      </c>
      <c r="K16" s="15" t="n">
        <f aca="false">ROUND(J16-F16,2)</f>
        <v>0</v>
      </c>
      <c r="L16" s="4" t="str">
        <f aca="false">IF(ABS(K16)&lt;0.005,"OK",IF(ABS(K16)&lt;=0.11,"Rounding / minimum fee","REVIEW"))</f>
        <v>OK</v>
      </c>
    </row>
    <row r="17" customFormat="false" ht="15" hidden="false" customHeight="false" outlineLevel="0" collapsed="false">
      <c r="A17" s="18" t="n">
        <v>14</v>
      </c>
      <c r="B17" s="4" t="s">
        <v>331</v>
      </c>
      <c r="C17" s="4" t="s">
        <v>326</v>
      </c>
      <c r="D17" s="4" t="s">
        <v>380</v>
      </c>
      <c r="E17" s="4" t="s">
        <v>71</v>
      </c>
      <c r="F17" s="15" t="n">
        <v>-5.91</v>
      </c>
    </row>
    <row r="18" customFormat="false" ht="15" hidden="false" customHeight="false" outlineLevel="0" collapsed="false">
      <c r="A18" s="18" t="n">
        <v>15</v>
      </c>
      <c r="B18" s="4" t="s">
        <v>331</v>
      </c>
      <c r="C18" s="4" t="s">
        <v>326</v>
      </c>
      <c r="D18" s="4" t="s">
        <v>381</v>
      </c>
      <c r="E18" s="4" t="s">
        <v>71</v>
      </c>
      <c r="F18" s="15" t="n">
        <v>-88</v>
      </c>
    </row>
    <row r="19" customFormat="false" ht="15" hidden="false" customHeight="false" outlineLevel="0" collapsed="false">
      <c r="A19" s="18" t="n">
        <v>16</v>
      </c>
      <c r="B19" s="4" t="s">
        <v>331</v>
      </c>
      <c r="C19" s="4" t="s">
        <v>326</v>
      </c>
      <c r="D19" s="4" t="s">
        <v>382</v>
      </c>
      <c r="E19" s="4" t="s">
        <v>71</v>
      </c>
      <c r="F19" s="15" t="n">
        <v>-0.05</v>
      </c>
      <c r="G19" s="4" t="s">
        <v>368</v>
      </c>
      <c r="H19" s="30" t="n">
        <v>483.68</v>
      </c>
      <c r="I19" s="31" t="n">
        <v>0.0001</v>
      </c>
      <c r="J19" s="15" t="n">
        <f aca="false">-ROUND(H19*I19,2)</f>
        <v>-0.05</v>
      </c>
      <c r="K19" s="15" t="n">
        <f aca="false">ROUND(J19-F19,2)</f>
        <v>0</v>
      </c>
      <c r="L19" s="4" t="str">
        <f aca="false">IF(ABS(K19)&lt;0.005,"OK",IF(ABS(K19)&lt;=0.11,"Rounding / minimum fee","REVIEW"))</f>
        <v>OK</v>
      </c>
    </row>
    <row r="20" customFormat="false" ht="15" hidden="false" customHeight="false" outlineLevel="0" collapsed="false">
      <c r="A20" s="18" t="n">
        <v>17</v>
      </c>
      <c r="B20" s="4" t="s">
        <v>331</v>
      </c>
      <c r="C20" s="4" t="s">
        <v>326</v>
      </c>
      <c r="D20" s="4" t="s">
        <v>383</v>
      </c>
      <c r="E20" s="4" t="s">
        <v>71</v>
      </c>
      <c r="F20" s="15" t="n">
        <v>-0.78</v>
      </c>
      <c r="G20" s="4" t="s">
        <v>376</v>
      </c>
      <c r="H20" s="30" t="n">
        <v>1</v>
      </c>
      <c r="I20" s="31" t="n">
        <v>0.78</v>
      </c>
      <c r="J20" s="15" t="n">
        <f aca="false">-ROUND(H20*I20,2)</f>
        <v>-0.78</v>
      </c>
      <c r="K20" s="15" t="n">
        <f aca="false">ROUND(J20-F20,2)</f>
        <v>0</v>
      </c>
      <c r="L20" s="4" t="str">
        <f aca="false">IF(ABS(K20)&lt;0.005,"OK",IF(ABS(K20)&lt;=0.11,"Rounding / minimum fee","REVIEW"))</f>
        <v>OK</v>
      </c>
    </row>
    <row r="21" customFormat="false" ht="15" hidden="false" customHeight="false" outlineLevel="0" collapsed="false">
      <c r="A21" s="18" t="n">
        <v>18</v>
      </c>
      <c r="B21" s="4" t="s">
        <v>331</v>
      </c>
      <c r="C21" s="4" t="s">
        <v>326</v>
      </c>
      <c r="D21" s="4" t="s">
        <v>384</v>
      </c>
      <c r="E21" s="4" t="s">
        <v>71</v>
      </c>
      <c r="F21" s="15" t="n">
        <v>-1000.01</v>
      </c>
    </row>
    <row r="22" customFormat="false" ht="15" hidden="false" customHeight="false" outlineLevel="0" collapsed="false">
      <c r="A22" s="18" t="n">
        <v>19</v>
      </c>
      <c r="B22" s="4" t="s">
        <v>331</v>
      </c>
      <c r="C22" s="4" t="s">
        <v>316</v>
      </c>
      <c r="D22" s="4" t="s">
        <v>385</v>
      </c>
      <c r="E22" s="4" t="s">
        <v>71</v>
      </c>
      <c r="F22" s="15" t="n">
        <v>-3.83</v>
      </c>
      <c r="G22" s="4" t="s">
        <v>368</v>
      </c>
      <c r="H22" s="30" t="n">
        <v>25506.68</v>
      </c>
      <c r="I22" s="31" t="n">
        <v>0.00015</v>
      </c>
      <c r="J22" s="15" t="n">
        <f aca="false">-ROUND(H22*I22,2)</f>
        <v>-3.83</v>
      </c>
      <c r="K22" s="15" t="n">
        <f aca="false">ROUND(J22-F22,2)</f>
        <v>0</v>
      </c>
      <c r="L22" s="4" t="str">
        <f aca="false">IF(ABS(K22)&lt;0.005,"OK",IF(ABS(K22)&lt;=0.11,"Rounding / minimum fee","REVIEW"))</f>
        <v>OK</v>
      </c>
    </row>
    <row r="23" customFormat="false" ht="15" hidden="false" customHeight="false" outlineLevel="0" collapsed="false">
      <c r="A23" s="18" t="n">
        <v>20</v>
      </c>
      <c r="B23" s="4" t="s">
        <v>331</v>
      </c>
      <c r="C23" s="4" t="s">
        <v>316</v>
      </c>
      <c r="D23" s="4" t="s">
        <v>386</v>
      </c>
      <c r="E23" s="4" t="s">
        <v>71</v>
      </c>
      <c r="F23" s="15" t="n">
        <v>-10.02</v>
      </c>
      <c r="G23" s="4" t="s">
        <v>368</v>
      </c>
      <c r="H23" s="30" t="n">
        <v>66812.23</v>
      </c>
      <c r="I23" s="31" t="n">
        <v>0.00015</v>
      </c>
      <c r="J23" s="15" t="n">
        <f aca="false">-ROUND(H23*I23,2)</f>
        <v>-10.02</v>
      </c>
      <c r="K23" s="15" t="n">
        <f aca="false">ROUND(J23-F23,2)</f>
        <v>0</v>
      </c>
      <c r="L23" s="4" t="str">
        <f aca="false">IF(ABS(K23)&lt;0.005,"OK",IF(ABS(K23)&lt;=0.11,"Rounding / minimum fee","REVIEW"))</f>
        <v>OK</v>
      </c>
    </row>
    <row r="24" customFormat="false" ht="15" hidden="false" customHeight="false" outlineLevel="0" collapsed="false">
      <c r="A24" s="18" t="n">
        <v>21</v>
      </c>
      <c r="B24" s="4" t="s">
        <v>331</v>
      </c>
      <c r="C24" s="4" t="s">
        <v>316</v>
      </c>
      <c r="D24" s="4" t="s">
        <v>387</v>
      </c>
      <c r="E24" s="4" t="s">
        <v>71</v>
      </c>
      <c r="F24" s="15" t="n">
        <v>-13.04</v>
      </c>
      <c r="G24" s="4" t="s">
        <v>368</v>
      </c>
      <c r="H24" s="30" t="n">
        <v>86963.63</v>
      </c>
      <c r="I24" s="31" t="n">
        <v>0.00015</v>
      </c>
      <c r="J24" s="15" t="n">
        <f aca="false">-ROUND(H24*I24,2)</f>
        <v>-13.04</v>
      </c>
      <c r="K24" s="15" t="n">
        <f aca="false">ROUND(J24-F24,2)</f>
        <v>0</v>
      </c>
      <c r="L24" s="4" t="str">
        <f aca="false">IF(ABS(K24)&lt;0.005,"OK",IF(ABS(K24)&lt;=0.11,"Rounding / minimum fee","REVIEW"))</f>
        <v>OK</v>
      </c>
    </row>
    <row r="25" customFormat="false" ht="15" hidden="false" customHeight="false" outlineLevel="0" collapsed="false">
      <c r="A25" s="18" t="n">
        <v>22</v>
      </c>
      <c r="B25" s="4" t="s">
        <v>331</v>
      </c>
      <c r="C25" s="4" t="s">
        <v>316</v>
      </c>
      <c r="D25" s="4" t="s">
        <v>388</v>
      </c>
      <c r="E25" s="4" t="s">
        <v>71</v>
      </c>
      <c r="F25" s="15" t="n">
        <v>-7.36</v>
      </c>
      <c r="G25" s="4" t="s">
        <v>368</v>
      </c>
      <c r="H25" s="30" t="n">
        <v>49052.79</v>
      </c>
      <c r="I25" s="31" t="n">
        <v>0.00015</v>
      </c>
      <c r="J25" s="15" t="n">
        <f aca="false">-ROUND(H25*I25,2)</f>
        <v>-7.36</v>
      </c>
      <c r="K25" s="15" t="n">
        <f aca="false">ROUND(J25-F25,2)</f>
        <v>0</v>
      </c>
      <c r="L25" s="4" t="str">
        <f aca="false">IF(ABS(K25)&lt;0.005,"OK",IF(ABS(K25)&lt;=0.11,"Rounding / minimum fee","REVIEW"))</f>
        <v>OK</v>
      </c>
    </row>
    <row r="26" customFormat="false" ht="15" hidden="false" customHeight="false" outlineLevel="0" collapsed="false">
      <c r="A26" s="18" t="n">
        <v>23</v>
      </c>
      <c r="B26" s="4" t="s">
        <v>331</v>
      </c>
      <c r="C26" s="4" t="s">
        <v>316</v>
      </c>
      <c r="D26" s="4" t="s">
        <v>389</v>
      </c>
      <c r="E26" s="4" t="s">
        <v>71</v>
      </c>
      <c r="F26" s="15" t="n">
        <v>-4.02</v>
      </c>
      <c r="G26" s="4" t="s">
        <v>368</v>
      </c>
      <c r="H26" s="30" t="n">
        <v>26812.1</v>
      </c>
      <c r="I26" s="31" t="n">
        <v>0.00015</v>
      </c>
      <c r="J26" s="15" t="n">
        <f aca="false">-ROUND(H26*I26,2)</f>
        <v>-4.02</v>
      </c>
      <c r="K26" s="15" t="n">
        <f aca="false">ROUND(J26-F26,2)</f>
        <v>0</v>
      </c>
      <c r="L26" s="4" t="str">
        <f aca="false">IF(ABS(K26)&lt;0.005,"OK",IF(ABS(K26)&lt;=0.11,"Rounding / minimum fee","REVIEW"))</f>
        <v>OK</v>
      </c>
    </row>
    <row r="27" customFormat="false" ht="15" hidden="false" customHeight="false" outlineLevel="0" collapsed="false">
      <c r="A27" s="18" t="n">
        <v>24</v>
      </c>
      <c r="B27" s="4" t="s">
        <v>331</v>
      </c>
      <c r="C27" s="4" t="s">
        <v>316</v>
      </c>
      <c r="D27" s="4" t="s">
        <v>390</v>
      </c>
      <c r="E27" s="4" t="s">
        <v>71</v>
      </c>
      <c r="F27" s="15" t="n">
        <v>-5.42</v>
      </c>
      <c r="G27" s="4" t="s">
        <v>368</v>
      </c>
      <c r="H27" s="30" t="n">
        <v>36156.88</v>
      </c>
      <c r="I27" s="31" t="n">
        <v>0.00015</v>
      </c>
      <c r="J27" s="15" t="n">
        <f aca="false">-ROUND(H27*I27,2)</f>
        <v>-5.42</v>
      </c>
      <c r="K27" s="15" t="n">
        <f aca="false">ROUND(J27-F27,2)</f>
        <v>0</v>
      </c>
      <c r="L27" s="4" t="str">
        <f aca="false">IF(ABS(K27)&lt;0.005,"OK",IF(ABS(K27)&lt;=0.11,"Rounding / minimum fee","REVIEW"))</f>
        <v>OK</v>
      </c>
    </row>
    <row r="28" customFormat="false" ht="15" hidden="false" customHeight="false" outlineLevel="0" collapsed="false">
      <c r="A28" s="18" t="n">
        <v>25</v>
      </c>
      <c r="B28" s="4" t="s">
        <v>331</v>
      </c>
      <c r="C28" s="4" t="s">
        <v>316</v>
      </c>
      <c r="D28" s="4" t="s">
        <v>391</v>
      </c>
      <c r="E28" s="4" t="s">
        <v>71</v>
      </c>
      <c r="F28" s="15" t="n">
        <v>-0.11</v>
      </c>
      <c r="G28" s="4" t="s">
        <v>368</v>
      </c>
      <c r="H28" s="30" t="n">
        <v>732.81</v>
      </c>
      <c r="I28" s="31" t="n">
        <v>0.00015</v>
      </c>
      <c r="J28" s="15" t="n">
        <f aca="false">-ROUND(H28*I28,2)</f>
        <v>-0.11</v>
      </c>
      <c r="K28" s="15" t="n">
        <f aca="false">ROUND(J28-F28,2)</f>
        <v>0</v>
      </c>
      <c r="L28" s="4" t="str">
        <f aca="false">IF(ABS(K28)&lt;0.005,"OK",IF(ABS(K28)&lt;=0.11,"Rounding / minimum fee","REVIEW"))</f>
        <v>OK</v>
      </c>
    </row>
    <row r="29" customFormat="false" ht="15" hidden="false" customHeight="false" outlineLevel="0" collapsed="false">
      <c r="A29" s="18" t="n">
        <v>26</v>
      </c>
      <c r="B29" s="4" t="s">
        <v>331</v>
      </c>
      <c r="C29" s="4" t="s">
        <v>316</v>
      </c>
      <c r="D29" s="4" t="s">
        <v>392</v>
      </c>
      <c r="E29" s="4" t="s">
        <v>71</v>
      </c>
      <c r="F29" s="15" t="n">
        <v>-10.28</v>
      </c>
      <c r="G29" s="4" t="s">
        <v>368</v>
      </c>
      <c r="H29" s="30" t="n">
        <v>68502.34</v>
      </c>
      <c r="I29" s="31" t="n">
        <v>0.00015</v>
      </c>
      <c r="J29" s="15" t="n">
        <f aca="false">-ROUND(H29*I29,2)</f>
        <v>-10.28</v>
      </c>
      <c r="K29" s="15" t="n">
        <f aca="false">ROUND(J29-F29,2)</f>
        <v>0</v>
      </c>
      <c r="L29" s="4" t="str">
        <f aca="false">IF(ABS(K29)&lt;0.005,"OK",IF(ABS(K29)&lt;=0.11,"Rounding / minimum fee","REVIEW"))</f>
        <v>OK</v>
      </c>
    </row>
    <row r="30" customFormat="false" ht="15" hidden="false" customHeight="false" outlineLevel="0" collapsed="false">
      <c r="A30" s="18" t="n">
        <v>27</v>
      </c>
      <c r="B30" s="4" t="s">
        <v>331</v>
      </c>
      <c r="C30" s="4" t="s">
        <v>316</v>
      </c>
      <c r="D30" s="4" t="s">
        <v>393</v>
      </c>
      <c r="E30" s="4" t="s">
        <v>71</v>
      </c>
      <c r="F30" s="15" t="n">
        <v>-3.54</v>
      </c>
      <c r="G30" s="4" t="s">
        <v>368</v>
      </c>
      <c r="H30" s="30" t="n">
        <v>23576.48</v>
      </c>
      <c r="I30" s="31" t="n">
        <v>0.00015</v>
      </c>
      <c r="J30" s="15" t="n">
        <f aca="false">-ROUND(H30*I30,2)</f>
        <v>-3.54</v>
      </c>
      <c r="K30" s="15" t="n">
        <f aca="false">ROUND(J30-F30,2)</f>
        <v>0</v>
      </c>
      <c r="L30" s="4" t="str">
        <f aca="false">IF(ABS(K30)&lt;0.005,"OK",IF(ABS(K30)&lt;=0.11,"Rounding / minimum fee","REVIEW"))</f>
        <v>OK</v>
      </c>
    </row>
    <row r="31" customFormat="false" ht="15" hidden="false" customHeight="false" outlineLevel="0" collapsed="false">
      <c r="A31" s="18" t="n">
        <v>28</v>
      </c>
      <c r="B31" s="4" t="s">
        <v>331</v>
      </c>
      <c r="C31" s="4" t="s">
        <v>316</v>
      </c>
      <c r="D31" s="4" t="s">
        <v>394</v>
      </c>
      <c r="E31" s="4" t="s">
        <v>71</v>
      </c>
      <c r="F31" s="15" t="n">
        <v>-4.42</v>
      </c>
      <c r="G31" s="4" t="s">
        <v>368</v>
      </c>
      <c r="H31" s="30" t="n">
        <v>29498.87</v>
      </c>
      <c r="I31" s="31" t="n">
        <v>0.00015</v>
      </c>
      <c r="J31" s="15" t="n">
        <f aca="false">-ROUND(H31*I31,2)</f>
        <v>-4.42</v>
      </c>
      <c r="K31" s="15" t="n">
        <f aca="false">ROUND(J31-F31,2)</f>
        <v>0</v>
      </c>
      <c r="L31" s="4" t="str">
        <f aca="false">IF(ABS(K31)&lt;0.005,"OK",IF(ABS(K31)&lt;=0.11,"Rounding / minimum fee","REVIEW"))</f>
        <v>OK</v>
      </c>
    </row>
    <row r="32" customFormat="false" ht="15" hidden="false" customHeight="false" outlineLevel="0" collapsed="false">
      <c r="A32" s="18" t="n">
        <v>29</v>
      </c>
      <c r="B32" s="4" t="s">
        <v>331</v>
      </c>
      <c r="C32" s="4" t="s">
        <v>316</v>
      </c>
      <c r="D32" s="4" t="s">
        <v>395</v>
      </c>
      <c r="E32" s="4" t="s">
        <v>71</v>
      </c>
      <c r="F32" s="15" t="n">
        <v>-1.98</v>
      </c>
      <c r="G32" s="4" t="s">
        <v>368</v>
      </c>
      <c r="H32" s="30" t="n">
        <v>13171.15</v>
      </c>
      <c r="I32" s="31" t="n">
        <v>0.00015</v>
      </c>
      <c r="J32" s="15" t="n">
        <f aca="false">-ROUND(H32*I32,2)</f>
        <v>-1.98</v>
      </c>
      <c r="K32" s="15" t="n">
        <f aca="false">ROUND(J32-F32,2)</f>
        <v>0</v>
      </c>
      <c r="L32" s="4" t="str">
        <f aca="false">IF(ABS(K32)&lt;0.005,"OK",IF(ABS(K32)&lt;=0.11,"Rounding / minimum fee","REVIEW"))</f>
        <v>OK</v>
      </c>
    </row>
    <row r="33" customFormat="false" ht="15" hidden="false" customHeight="false" outlineLevel="0" collapsed="false">
      <c r="A33" s="18" t="n">
        <v>30</v>
      </c>
      <c r="B33" s="4" t="s">
        <v>331</v>
      </c>
      <c r="C33" s="4" t="s">
        <v>316</v>
      </c>
      <c r="D33" s="4" t="s">
        <v>396</v>
      </c>
      <c r="E33" s="4" t="s">
        <v>71</v>
      </c>
      <c r="F33" s="15" t="n">
        <v>-1.39</v>
      </c>
      <c r="G33" s="4" t="s">
        <v>368</v>
      </c>
      <c r="H33" s="30" t="n">
        <v>9287.32</v>
      </c>
      <c r="I33" s="31" t="n">
        <v>0.00015</v>
      </c>
      <c r="J33" s="15" t="n">
        <f aca="false">-ROUND(H33*I33,2)</f>
        <v>-1.39</v>
      </c>
      <c r="K33" s="15" t="n">
        <f aca="false">ROUND(J33-F33,2)</f>
        <v>0</v>
      </c>
      <c r="L33" s="4" t="str">
        <f aca="false">IF(ABS(K33)&lt;0.005,"OK",IF(ABS(K33)&lt;=0.11,"Rounding / minimum fee","REVIEW"))</f>
        <v>OK</v>
      </c>
    </row>
    <row r="34" customFormat="false" ht="15" hidden="false" customHeight="false" outlineLevel="0" collapsed="false">
      <c r="A34" s="18" t="n">
        <v>31</v>
      </c>
      <c r="B34" s="4" t="s">
        <v>331</v>
      </c>
      <c r="C34" s="4" t="s">
        <v>316</v>
      </c>
      <c r="D34" s="4" t="s">
        <v>397</v>
      </c>
      <c r="E34" s="4" t="s">
        <v>71</v>
      </c>
      <c r="F34" s="15" t="n">
        <v>-2.95</v>
      </c>
      <c r="G34" s="4" t="s">
        <v>368</v>
      </c>
      <c r="H34" s="30" t="n">
        <v>19694.75</v>
      </c>
      <c r="I34" s="31" t="n">
        <v>0.00015</v>
      </c>
      <c r="J34" s="15" t="n">
        <f aca="false">-ROUND(H34*I34,2)</f>
        <v>-2.95</v>
      </c>
      <c r="K34" s="15" t="n">
        <f aca="false">ROUND(J34-F34,2)</f>
        <v>0</v>
      </c>
      <c r="L34" s="4" t="str">
        <f aca="false">IF(ABS(K34)&lt;0.005,"OK",IF(ABS(K34)&lt;=0.11,"Rounding / minimum fee","REVIEW"))</f>
        <v>OK</v>
      </c>
    </row>
    <row r="35" customFormat="false" ht="15" hidden="false" customHeight="false" outlineLevel="0" collapsed="false">
      <c r="A35" s="18" t="n">
        <v>32</v>
      </c>
      <c r="B35" s="4" t="s">
        <v>331</v>
      </c>
      <c r="C35" s="4" t="s">
        <v>316</v>
      </c>
      <c r="D35" s="4" t="s">
        <v>398</v>
      </c>
      <c r="E35" s="4" t="s">
        <v>71</v>
      </c>
      <c r="F35" s="15" t="n">
        <v>-0.37</v>
      </c>
      <c r="G35" s="4" t="s">
        <v>368</v>
      </c>
      <c r="H35" s="30" t="n">
        <v>2479.06</v>
      </c>
      <c r="I35" s="31" t="n">
        <v>0.00015</v>
      </c>
      <c r="J35" s="15" t="n">
        <f aca="false">-ROUND(H35*I35,2)</f>
        <v>-0.37</v>
      </c>
      <c r="K35" s="15" t="n">
        <f aca="false">ROUND(J35-F35,2)</f>
        <v>0</v>
      </c>
      <c r="L35" s="4" t="str">
        <f aca="false">IF(ABS(K35)&lt;0.005,"OK",IF(ABS(K35)&lt;=0.11,"Rounding / minimum fee","REVIEW"))</f>
        <v>OK</v>
      </c>
    </row>
    <row r="36" customFormat="false" ht="15" hidden="false" customHeight="false" outlineLevel="0" collapsed="false">
      <c r="A36" s="18" t="n">
        <v>33</v>
      </c>
      <c r="B36" s="4" t="s">
        <v>331</v>
      </c>
      <c r="C36" s="4" t="s">
        <v>316</v>
      </c>
      <c r="D36" s="4" t="s">
        <v>399</v>
      </c>
      <c r="E36" s="4" t="s">
        <v>71</v>
      </c>
      <c r="F36" s="15" t="n">
        <v>-4.89</v>
      </c>
      <c r="G36" s="4" t="s">
        <v>368</v>
      </c>
      <c r="H36" s="30" t="n">
        <v>32614.18</v>
      </c>
      <c r="I36" s="31" t="n">
        <v>0.00015</v>
      </c>
      <c r="J36" s="15" t="n">
        <f aca="false">-ROUND(H36*I36,2)</f>
        <v>-4.89</v>
      </c>
      <c r="K36" s="15" t="n">
        <f aca="false">ROUND(J36-F36,2)</f>
        <v>0</v>
      </c>
      <c r="L36" s="4" t="str">
        <f aca="false">IF(ABS(K36)&lt;0.005,"OK",IF(ABS(K36)&lt;=0.11,"Rounding / minimum fee","REVIEW"))</f>
        <v>OK</v>
      </c>
    </row>
    <row r="37" customFormat="false" ht="15" hidden="false" customHeight="false" outlineLevel="0" collapsed="false">
      <c r="A37" s="18" t="n">
        <v>34</v>
      </c>
      <c r="B37" s="4" t="s">
        <v>331</v>
      </c>
      <c r="C37" s="4" t="s">
        <v>316</v>
      </c>
      <c r="D37" s="4" t="s">
        <v>400</v>
      </c>
      <c r="E37" s="4" t="s">
        <v>71</v>
      </c>
      <c r="F37" s="15" t="n">
        <v>-4.85</v>
      </c>
      <c r="G37" s="4" t="s">
        <v>368</v>
      </c>
      <c r="H37" s="30" t="n">
        <v>32355.76</v>
      </c>
      <c r="I37" s="31" t="n">
        <v>0.00015</v>
      </c>
      <c r="J37" s="15" t="n">
        <f aca="false">-ROUND(H37*I37,2)</f>
        <v>-4.85</v>
      </c>
      <c r="K37" s="15" t="n">
        <f aca="false">ROUND(J37-F37,2)</f>
        <v>0</v>
      </c>
      <c r="L37" s="4" t="str">
        <f aca="false">IF(ABS(K37)&lt;0.005,"OK",IF(ABS(K37)&lt;=0.11,"Rounding / minimum fee","REVIEW"))</f>
        <v>OK</v>
      </c>
    </row>
    <row r="38" customFormat="false" ht="15" hidden="false" customHeight="false" outlineLevel="0" collapsed="false">
      <c r="A38" s="18" t="n">
        <v>35</v>
      </c>
      <c r="B38" s="4" t="s">
        <v>331</v>
      </c>
      <c r="C38" s="4" t="s">
        <v>316</v>
      </c>
      <c r="D38" s="4" t="s">
        <v>401</v>
      </c>
      <c r="E38" s="4" t="s">
        <v>71</v>
      </c>
      <c r="F38" s="15" t="n">
        <v>-0.22</v>
      </c>
      <c r="G38" s="4" t="s">
        <v>368</v>
      </c>
      <c r="H38" s="30" t="n">
        <v>1487.67</v>
      </c>
      <c r="I38" s="31" t="n">
        <v>0.00015</v>
      </c>
      <c r="J38" s="15" t="n">
        <f aca="false">-ROUND(H38*I38,2)</f>
        <v>-0.22</v>
      </c>
      <c r="K38" s="15" t="n">
        <f aca="false">ROUND(J38-F38,2)</f>
        <v>0</v>
      </c>
      <c r="L38" s="4" t="str">
        <f aca="false">IF(ABS(K38)&lt;0.005,"OK",IF(ABS(K38)&lt;=0.11,"Rounding / minimum fee","REVIEW"))</f>
        <v>OK</v>
      </c>
    </row>
    <row r="39" customFormat="false" ht="15" hidden="false" customHeight="false" outlineLevel="0" collapsed="false">
      <c r="A39" s="18" t="n">
        <v>36</v>
      </c>
      <c r="B39" s="4" t="s">
        <v>331</v>
      </c>
      <c r="C39" s="4" t="s">
        <v>316</v>
      </c>
      <c r="D39" s="4" t="s">
        <v>402</v>
      </c>
      <c r="E39" s="4" t="s">
        <v>71</v>
      </c>
      <c r="F39" s="15" t="n">
        <v>-15.04</v>
      </c>
      <c r="G39" s="4" t="s">
        <v>368</v>
      </c>
      <c r="H39" s="30" t="n">
        <v>100284.58</v>
      </c>
      <c r="I39" s="31" t="n">
        <v>0.00015</v>
      </c>
      <c r="J39" s="15" t="n">
        <f aca="false">-ROUND(H39*I39,2)</f>
        <v>-15.04</v>
      </c>
      <c r="K39" s="15" t="n">
        <f aca="false">ROUND(J39-F39,2)</f>
        <v>0</v>
      </c>
      <c r="L39" s="4" t="str">
        <f aca="false">IF(ABS(K39)&lt;0.005,"OK",IF(ABS(K39)&lt;=0.11,"Rounding / minimum fee","REVIEW"))</f>
        <v>OK</v>
      </c>
    </row>
    <row r="40" customFormat="false" ht="15" hidden="false" customHeight="false" outlineLevel="0" collapsed="false">
      <c r="A40" s="18" t="n">
        <v>37</v>
      </c>
      <c r="B40" s="4" t="s">
        <v>331</v>
      </c>
      <c r="C40" s="4" t="s">
        <v>316</v>
      </c>
      <c r="D40" s="4" t="s">
        <v>403</v>
      </c>
      <c r="E40" s="4" t="s">
        <v>71</v>
      </c>
      <c r="F40" s="15" t="n">
        <v>-17.21</v>
      </c>
      <c r="G40" s="4" t="s">
        <v>368</v>
      </c>
      <c r="H40" s="30" t="n">
        <v>114731.6</v>
      </c>
      <c r="I40" s="31" t="n">
        <v>0.00015</v>
      </c>
      <c r="J40" s="15" t="n">
        <f aca="false">-ROUND(H40*I40,2)</f>
        <v>-17.21</v>
      </c>
      <c r="K40" s="15" t="n">
        <f aca="false">ROUND(J40-F40,2)</f>
        <v>0</v>
      </c>
      <c r="L40" s="4" t="str">
        <f aca="false">IF(ABS(K40)&lt;0.005,"OK",IF(ABS(K40)&lt;=0.11,"Rounding / minimum fee","REVIEW"))</f>
        <v>OK</v>
      </c>
    </row>
    <row r="41" customFormat="false" ht="15" hidden="false" customHeight="false" outlineLevel="0" collapsed="false">
      <c r="A41" s="18" t="n">
        <v>38</v>
      </c>
      <c r="B41" s="4" t="s">
        <v>331</v>
      </c>
      <c r="C41" s="4" t="s">
        <v>316</v>
      </c>
      <c r="D41" s="4" t="s">
        <v>404</v>
      </c>
      <c r="E41" s="4" t="s">
        <v>71</v>
      </c>
      <c r="F41" s="15" t="n">
        <v>-0.01</v>
      </c>
      <c r="G41" s="4" t="s">
        <v>368</v>
      </c>
      <c r="H41" s="30" t="n">
        <v>55</v>
      </c>
      <c r="I41" s="31" t="n">
        <v>0.00015</v>
      </c>
      <c r="J41" s="15" t="n">
        <f aca="false">-ROUND(H41*I41,2)</f>
        <v>-0.01</v>
      </c>
      <c r="K41" s="15" t="n">
        <f aca="false">ROUND(J41-F41,2)</f>
        <v>0</v>
      </c>
      <c r="L41" s="4" t="str">
        <f aca="false">IF(ABS(K41)&lt;0.005,"OK",IF(ABS(K41)&lt;=0.11,"Rounding / minimum fee","REVIEW"))</f>
        <v>OK</v>
      </c>
    </row>
    <row r="42" customFormat="false" ht="15" hidden="false" customHeight="false" outlineLevel="0" collapsed="false">
      <c r="A42" s="18" t="n">
        <v>39</v>
      </c>
      <c r="B42" s="4" t="s">
        <v>331</v>
      </c>
      <c r="C42" s="4" t="s">
        <v>316</v>
      </c>
      <c r="D42" s="4" t="s">
        <v>405</v>
      </c>
      <c r="E42" s="4" t="s">
        <v>71</v>
      </c>
      <c r="F42" s="15" t="n">
        <v>-15.46</v>
      </c>
      <c r="G42" s="4" t="s">
        <v>368</v>
      </c>
      <c r="H42" s="30" t="n">
        <v>103049.08</v>
      </c>
      <c r="I42" s="31" t="n">
        <v>0.00015</v>
      </c>
      <c r="J42" s="15" t="n">
        <f aca="false">-ROUND(H42*I42,2)</f>
        <v>-15.46</v>
      </c>
      <c r="K42" s="15" t="n">
        <f aca="false">ROUND(J42-F42,2)</f>
        <v>0</v>
      </c>
      <c r="L42" s="4" t="str">
        <f aca="false">IF(ABS(K42)&lt;0.005,"OK",IF(ABS(K42)&lt;=0.11,"Rounding / minimum fee","REVIEW"))</f>
        <v>OK</v>
      </c>
    </row>
    <row r="43" customFormat="false" ht="15" hidden="false" customHeight="false" outlineLevel="0" collapsed="false">
      <c r="A43" s="18" t="n">
        <v>40</v>
      </c>
      <c r="B43" s="4" t="s">
        <v>331</v>
      </c>
      <c r="C43" s="4" t="s">
        <v>316</v>
      </c>
      <c r="D43" s="4" t="s">
        <v>406</v>
      </c>
      <c r="E43" s="4" t="s">
        <v>71</v>
      </c>
      <c r="F43" s="15" t="n">
        <v>-10.93</v>
      </c>
      <c r="G43" s="4" t="s">
        <v>368</v>
      </c>
      <c r="H43" s="30" t="n">
        <v>72875.81</v>
      </c>
      <c r="I43" s="31" t="n">
        <v>0.00015</v>
      </c>
      <c r="J43" s="15" t="n">
        <f aca="false">-ROUND(H43*I43,2)</f>
        <v>-10.93</v>
      </c>
      <c r="K43" s="15" t="n">
        <f aca="false">ROUND(J43-F43,2)</f>
        <v>0</v>
      </c>
      <c r="L43" s="4" t="str">
        <f aca="false">IF(ABS(K43)&lt;0.005,"OK",IF(ABS(K43)&lt;=0.11,"Rounding / minimum fee","REVIEW"))</f>
        <v>OK</v>
      </c>
    </row>
    <row r="44" customFormat="false" ht="15" hidden="false" customHeight="false" outlineLevel="0" collapsed="false">
      <c r="A44" s="18" t="n">
        <v>41</v>
      </c>
      <c r="B44" s="4" t="s">
        <v>331</v>
      </c>
      <c r="C44" s="4" t="s">
        <v>316</v>
      </c>
      <c r="D44" s="4" t="s">
        <v>407</v>
      </c>
      <c r="E44" s="4" t="s">
        <v>71</v>
      </c>
      <c r="F44" s="15" t="n">
        <v>-39.7</v>
      </c>
      <c r="G44" s="4" t="s">
        <v>368</v>
      </c>
      <c r="H44" s="30" t="n">
        <v>264682.43</v>
      </c>
      <c r="I44" s="31" t="n">
        <v>0.00015</v>
      </c>
      <c r="J44" s="15" t="n">
        <f aca="false">-ROUND(H44*I44,2)</f>
        <v>-39.7</v>
      </c>
      <c r="K44" s="15" t="n">
        <f aca="false">ROUND(J44-F44,2)</f>
        <v>0</v>
      </c>
      <c r="L44" s="4" t="str">
        <f aca="false">IF(ABS(K44)&lt;0.005,"OK",IF(ABS(K44)&lt;=0.11,"Rounding / minimum fee","REVIEW"))</f>
        <v>OK</v>
      </c>
    </row>
    <row r="45" customFormat="false" ht="15" hidden="false" customHeight="false" outlineLevel="0" collapsed="false">
      <c r="A45" s="18" t="n">
        <v>42</v>
      </c>
      <c r="B45" s="4" t="s">
        <v>331</v>
      </c>
      <c r="C45" s="4" t="s">
        <v>316</v>
      </c>
      <c r="D45" s="4" t="s">
        <v>408</v>
      </c>
      <c r="E45" s="4" t="s">
        <v>71</v>
      </c>
      <c r="F45" s="15" t="n">
        <v>-1.24</v>
      </c>
      <c r="G45" s="4" t="s">
        <v>368</v>
      </c>
      <c r="H45" s="30" t="n">
        <v>8280.65</v>
      </c>
      <c r="I45" s="31" t="n">
        <v>0.00015</v>
      </c>
      <c r="J45" s="15" t="n">
        <f aca="false">-ROUND(H45*I45,2)</f>
        <v>-1.24</v>
      </c>
      <c r="K45" s="15" t="n">
        <f aca="false">ROUND(J45-F45,2)</f>
        <v>0</v>
      </c>
      <c r="L45" s="4" t="str">
        <f aca="false">IF(ABS(K45)&lt;0.005,"OK",IF(ABS(K45)&lt;=0.11,"Rounding / minimum fee","REVIEW"))</f>
        <v>OK</v>
      </c>
    </row>
    <row r="46" customFormat="false" ht="15" hidden="false" customHeight="false" outlineLevel="0" collapsed="false">
      <c r="A46" s="18" t="n">
        <v>43</v>
      </c>
      <c r="B46" s="4" t="s">
        <v>331</v>
      </c>
      <c r="C46" s="4" t="s">
        <v>316</v>
      </c>
      <c r="D46" s="4" t="s">
        <v>409</v>
      </c>
      <c r="E46" s="4" t="s">
        <v>71</v>
      </c>
      <c r="F46" s="15" t="n">
        <v>-2.52</v>
      </c>
      <c r="G46" s="4" t="s">
        <v>368</v>
      </c>
      <c r="H46" s="30" t="n">
        <v>16811.67</v>
      </c>
      <c r="I46" s="31" t="n">
        <v>0.00015</v>
      </c>
      <c r="J46" s="15" t="n">
        <f aca="false">-ROUND(H46*I46,2)</f>
        <v>-2.52</v>
      </c>
      <c r="K46" s="15" t="n">
        <f aca="false">ROUND(J46-F46,2)</f>
        <v>0</v>
      </c>
      <c r="L46" s="4" t="str">
        <f aca="false">IF(ABS(K46)&lt;0.005,"OK",IF(ABS(K46)&lt;=0.11,"Rounding / minimum fee","REVIEW"))</f>
        <v>OK</v>
      </c>
    </row>
    <row r="47" customFormat="false" ht="15" hidden="false" customHeight="false" outlineLevel="0" collapsed="false">
      <c r="A47" s="18" t="n">
        <v>44</v>
      </c>
      <c r="B47" s="4" t="s">
        <v>331</v>
      </c>
      <c r="C47" s="4" t="s">
        <v>316</v>
      </c>
      <c r="D47" s="4" t="s">
        <v>410</v>
      </c>
      <c r="E47" s="4" t="s">
        <v>71</v>
      </c>
      <c r="F47" s="15" t="n">
        <v>-21.22</v>
      </c>
      <c r="G47" s="4" t="s">
        <v>368</v>
      </c>
      <c r="H47" s="30" t="n">
        <v>141467.07</v>
      </c>
      <c r="I47" s="31" t="n">
        <v>0.00015</v>
      </c>
      <c r="J47" s="15" t="n">
        <f aca="false">-ROUND(H47*I47,2)</f>
        <v>-21.22</v>
      </c>
      <c r="K47" s="15" t="n">
        <f aca="false">ROUND(J47-F47,2)</f>
        <v>0</v>
      </c>
      <c r="L47" s="4" t="str">
        <f aca="false">IF(ABS(K47)&lt;0.005,"OK",IF(ABS(K47)&lt;=0.11,"Rounding / minimum fee","REVIEW"))</f>
        <v>OK</v>
      </c>
    </row>
    <row r="48" customFormat="false" ht="15" hidden="false" customHeight="false" outlineLevel="0" collapsed="false">
      <c r="A48" s="18" t="n">
        <v>45</v>
      </c>
      <c r="B48" s="4" t="s">
        <v>331</v>
      </c>
      <c r="C48" s="4" t="s">
        <v>316</v>
      </c>
      <c r="D48" s="4" t="s">
        <v>411</v>
      </c>
      <c r="E48" s="4" t="s">
        <v>71</v>
      </c>
      <c r="F48" s="15" t="n">
        <v>-11.86</v>
      </c>
      <c r="G48" s="4" t="s">
        <v>368</v>
      </c>
      <c r="H48" s="30" t="n">
        <v>79092.82</v>
      </c>
      <c r="I48" s="31" t="n">
        <v>0.00015</v>
      </c>
      <c r="J48" s="15" t="n">
        <f aca="false">-ROUND(H48*I48,2)</f>
        <v>-11.86</v>
      </c>
      <c r="K48" s="15" t="n">
        <f aca="false">ROUND(J48-F48,2)</f>
        <v>0</v>
      </c>
      <c r="L48" s="4" t="str">
        <f aca="false">IF(ABS(K48)&lt;0.005,"OK",IF(ABS(K48)&lt;=0.11,"Rounding / minimum fee","REVIEW"))</f>
        <v>OK</v>
      </c>
    </row>
    <row r="49" customFormat="false" ht="15" hidden="false" customHeight="false" outlineLevel="0" collapsed="false">
      <c r="A49" s="18" t="n">
        <v>46</v>
      </c>
      <c r="B49" s="4" t="s">
        <v>331</v>
      </c>
      <c r="C49" s="4" t="s">
        <v>316</v>
      </c>
      <c r="D49" s="4" t="s">
        <v>412</v>
      </c>
      <c r="E49" s="4" t="s">
        <v>71</v>
      </c>
      <c r="F49" s="15" t="n">
        <v>-19.4</v>
      </c>
      <c r="G49" s="4" t="s">
        <v>368</v>
      </c>
      <c r="H49" s="30" t="n">
        <v>129318.05</v>
      </c>
      <c r="I49" s="31" t="n">
        <v>0.00015</v>
      </c>
      <c r="J49" s="15" t="n">
        <f aca="false">-ROUND(H49*I49,2)</f>
        <v>-19.4</v>
      </c>
      <c r="K49" s="15" t="n">
        <f aca="false">ROUND(J49-F49,2)</f>
        <v>0</v>
      </c>
      <c r="L49" s="4" t="str">
        <f aca="false">IF(ABS(K49)&lt;0.005,"OK",IF(ABS(K49)&lt;=0.11,"Rounding / minimum fee","REVIEW"))</f>
        <v>OK</v>
      </c>
    </row>
    <row r="50" customFormat="false" ht="15" hidden="false" customHeight="false" outlineLevel="0" collapsed="false">
      <c r="A50" s="18" t="n">
        <v>47</v>
      </c>
      <c r="B50" s="4" t="s">
        <v>331</v>
      </c>
      <c r="C50" s="4" t="s">
        <v>316</v>
      </c>
      <c r="D50" s="4" t="s">
        <v>413</v>
      </c>
      <c r="E50" s="4" t="s">
        <v>71</v>
      </c>
      <c r="F50" s="15" t="n">
        <v>-2.54</v>
      </c>
      <c r="G50" s="4" t="s">
        <v>368</v>
      </c>
      <c r="H50" s="30" t="n">
        <v>16954.65</v>
      </c>
      <c r="I50" s="31" t="n">
        <v>0.00015</v>
      </c>
      <c r="J50" s="15" t="n">
        <f aca="false">-ROUND(H50*I50,2)</f>
        <v>-2.54</v>
      </c>
      <c r="K50" s="15" t="n">
        <f aca="false">ROUND(J50-F50,2)</f>
        <v>0</v>
      </c>
      <c r="L50" s="4" t="str">
        <f aca="false">IF(ABS(K50)&lt;0.005,"OK",IF(ABS(K50)&lt;=0.11,"Rounding / minimum fee","REVIEW"))</f>
        <v>OK</v>
      </c>
    </row>
    <row r="51" customFormat="false" ht="15" hidden="false" customHeight="false" outlineLevel="0" collapsed="false">
      <c r="A51" s="18" t="n">
        <v>48</v>
      </c>
      <c r="B51" s="4" t="s">
        <v>331</v>
      </c>
      <c r="C51" s="4" t="s">
        <v>316</v>
      </c>
      <c r="D51" s="4" t="s">
        <v>414</v>
      </c>
      <c r="E51" s="4" t="s">
        <v>71</v>
      </c>
      <c r="F51" s="15" t="n">
        <v>-17.48</v>
      </c>
      <c r="G51" s="4" t="s">
        <v>368</v>
      </c>
      <c r="H51" s="30" t="n">
        <v>116522.43</v>
      </c>
      <c r="I51" s="31" t="n">
        <v>0.00015</v>
      </c>
      <c r="J51" s="15" t="n">
        <f aca="false">-ROUND(H51*I51,2)</f>
        <v>-17.48</v>
      </c>
      <c r="K51" s="15" t="n">
        <f aca="false">ROUND(J51-F51,2)</f>
        <v>0</v>
      </c>
      <c r="L51" s="4" t="str">
        <f aca="false">IF(ABS(K51)&lt;0.005,"OK",IF(ABS(K51)&lt;=0.11,"Rounding / minimum fee","REVIEW"))</f>
        <v>OK</v>
      </c>
    </row>
    <row r="52" customFormat="false" ht="15" hidden="false" customHeight="false" outlineLevel="0" collapsed="false">
      <c r="A52" s="18" t="n">
        <v>49</v>
      </c>
      <c r="B52" s="4" t="s">
        <v>331</v>
      </c>
      <c r="C52" s="4" t="s">
        <v>316</v>
      </c>
      <c r="D52" s="4" t="s">
        <v>415</v>
      </c>
      <c r="E52" s="4" t="s">
        <v>71</v>
      </c>
      <c r="F52" s="15" t="n">
        <v>-7.18</v>
      </c>
      <c r="G52" s="4" t="s">
        <v>368</v>
      </c>
      <c r="H52" s="30" t="n">
        <v>47837.12</v>
      </c>
      <c r="I52" s="31" t="n">
        <v>0.00015</v>
      </c>
      <c r="J52" s="15" t="n">
        <f aca="false">-ROUND(H52*I52,2)</f>
        <v>-7.18</v>
      </c>
      <c r="K52" s="15" t="n">
        <f aca="false">ROUND(J52-F52,2)</f>
        <v>0</v>
      </c>
      <c r="L52" s="4" t="str">
        <f aca="false">IF(ABS(K52)&lt;0.005,"OK",IF(ABS(K52)&lt;=0.11,"Rounding / minimum fee","REVIEW"))</f>
        <v>OK</v>
      </c>
    </row>
    <row r="53" customFormat="false" ht="15" hidden="false" customHeight="false" outlineLevel="0" collapsed="false">
      <c r="A53" s="18" t="n">
        <v>50</v>
      </c>
      <c r="B53" s="4" t="s">
        <v>331</v>
      </c>
      <c r="C53" s="4" t="s">
        <v>316</v>
      </c>
      <c r="D53" s="4" t="s">
        <v>416</v>
      </c>
      <c r="E53" s="4" t="s">
        <v>71</v>
      </c>
      <c r="F53" s="15" t="n">
        <v>-1.53</v>
      </c>
      <c r="G53" s="4" t="s">
        <v>368</v>
      </c>
      <c r="H53" s="30" t="n">
        <v>10200.9</v>
      </c>
      <c r="I53" s="31" t="n">
        <v>0.00015</v>
      </c>
      <c r="J53" s="15" t="n">
        <f aca="false">-ROUND(H53*I53,2)</f>
        <v>-1.53</v>
      </c>
      <c r="K53" s="15" t="n">
        <f aca="false">ROUND(J53-F53,2)</f>
        <v>0</v>
      </c>
      <c r="L53" s="4" t="str">
        <f aca="false">IF(ABS(K53)&lt;0.005,"OK",IF(ABS(K53)&lt;=0.11,"Rounding / minimum fee","REVIEW"))</f>
        <v>OK</v>
      </c>
    </row>
    <row r="54" customFormat="false" ht="15" hidden="false" customHeight="false" outlineLevel="0" collapsed="false">
      <c r="A54" s="18" t="n">
        <v>51</v>
      </c>
      <c r="B54" s="4" t="s">
        <v>331</v>
      </c>
      <c r="C54" s="4" t="s">
        <v>316</v>
      </c>
      <c r="D54" s="4" t="s">
        <v>417</v>
      </c>
      <c r="E54" s="4" t="s">
        <v>71</v>
      </c>
      <c r="F54" s="15" t="n">
        <v>-14.67</v>
      </c>
      <c r="G54" s="4" t="s">
        <v>368</v>
      </c>
      <c r="H54" s="30" t="n">
        <v>97768.29</v>
      </c>
      <c r="I54" s="31" t="n">
        <v>0.00015</v>
      </c>
      <c r="J54" s="15" t="n">
        <f aca="false">-ROUND(H54*I54,2)</f>
        <v>-14.67</v>
      </c>
      <c r="K54" s="15" t="n">
        <f aca="false">ROUND(J54-F54,2)</f>
        <v>0</v>
      </c>
      <c r="L54" s="4" t="str">
        <f aca="false">IF(ABS(K54)&lt;0.005,"OK",IF(ABS(K54)&lt;=0.11,"Rounding / minimum fee","REVIEW"))</f>
        <v>OK</v>
      </c>
    </row>
    <row r="55" customFormat="false" ht="15" hidden="false" customHeight="false" outlineLevel="0" collapsed="false">
      <c r="A55" s="18" t="n">
        <v>52</v>
      </c>
      <c r="B55" s="4" t="s">
        <v>331</v>
      </c>
      <c r="C55" s="4" t="s">
        <v>316</v>
      </c>
      <c r="D55" s="4" t="s">
        <v>418</v>
      </c>
      <c r="E55" s="4" t="s">
        <v>71</v>
      </c>
      <c r="F55" s="15" t="n">
        <v>-51.85</v>
      </c>
      <c r="G55" s="4" t="s">
        <v>368</v>
      </c>
      <c r="H55" s="30" t="n">
        <v>345691.08</v>
      </c>
      <c r="I55" s="31" t="n">
        <v>0.00015</v>
      </c>
      <c r="J55" s="15" t="n">
        <f aca="false">-ROUND(H55*I55,2)</f>
        <v>-51.85</v>
      </c>
      <c r="K55" s="15" t="n">
        <f aca="false">ROUND(J55-F55,2)</f>
        <v>0</v>
      </c>
      <c r="L55" s="4" t="str">
        <f aca="false">IF(ABS(K55)&lt;0.005,"OK",IF(ABS(K55)&lt;=0.11,"Rounding / minimum fee","REVIEW"))</f>
        <v>OK</v>
      </c>
    </row>
    <row r="56" customFormat="false" ht="15" hidden="false" customHeight="false" outlineLevel="0" collapsed="false">
      <c r="A56" s="18" t="n">
        <v>53</v>
      </c>
      <c r="B56" s="4" t="s">
        <v>331</v>
      </c>
      <c r="C56" s="4" t="s">
        <v>316</v>
      </c>
      <c r="D56" s="4" t="s">
        <v>419</v>
      </c>
      <c r="E56" s="4" t="s">
        <v>71</v>
      </c>
      <c r="F56" s="15" t="n">
        <v>-14.2</v>
      </c>
      <c r="G56" s="4" t="s">
        <v>368</v>
      </c>
      <c r="H56" s="30" t="n">
        <v>94688.21</v>
      </c>
      <c r="I56" s="31" t="n">
        <v>0.00015</v>
      </c>
      <c r="J56" s="15" t="n">
        <f aca="false">-ROUND(H56*I56,2)</f>
        <v>-14.2</v>
      </c>
      <c r="K56" s="15" t="n">
        <f aca="false">ROUND(J56-F56,2)</f>
        <v>0</v>
      </c>
      <c r="L56" s="4" t="str">
        <f aca="false">IF(ABS(K56)&lt;0.005,"OK",IF(ABS(K56)&lt;=0.11,"Rounding / minimum fee","REVIEW"))</f>
        <v>OK</v>
      </c>
    </row>
    <row r="57" customFormat="false" ht="15" hidden="false" customHeight="false" outlineLevel="0" collapsed="false">
      <c r="A57" s="18" t="n">
        <v>54</v>
      </c>
      <c r="B57" s="4" t="s">
        <v>331</v>
      </c>
      <c r="C57" s="4" t="s">
        <v>316</v>
      </c>
      <c r="D57" s="4" t="s">
        <v>420</v>
      </c>
      <c r="E57" s="4" t="s">
        <v>71</v>
      </c>
      <c r="F57" s="15" t="n">
        <v>-2.98</v>
      </c>
      <c r="G57" s="4" t="s">
        <v>368</v>
      </c>
      <c r="H57" s="30" t="n">
        <v>19889.09</v>
      </c>
      <c r="I57" s="31" t="n">
        <v>0.00015</v>
      </c>
      <c r="J57" s="15" t="n">
        <f aca="false">-ROUND(H57*I57,2)</f>
        <v>-2.98</v>
      </c>
      <c r="K57" s="15" t="n">
        <f aca="false">ROUND(J57-F57,2)</f>
        <v>0</v>
      </c>
      <c r="L57" s="4" t="str">
        <f aca="false">IF(ABS(K57)&lt;0.005,"OK",IF(ABS(K57)&lt;=0.11,"Rounding / minimum fee","REVIEW"))</f>
        <v>OK</v>
      </c>
    </row>
    <row r="58" customFormat="false" ht="15" hidden="false" customHeight="false" outlineLevel="0" collapsed="false">
      <c r="A58" s="18" t="n">
        <v>55</v>
      </c>
      <c r="B58" s="4" t="s">
        <v>331</v>
      </c>
      <c r="C58" s="4" t="s">
        <v>316</v>
      </c>
      <c r="D58" s="4" t="s">
        <v>421</v>
      </c>
      <c r="E58" s="4" t="s">
        <v>71</v>
      </c>
      <c r="F58" s="15" t="n">
        <v>-0.08</v>
      </c>
      <c r="G58" s="4" t="s">
        <v>368</v>
      </c>
      <c r="H58" s="30" t="n">
        <v>522.93</v>
      </c>
      <c r="I58" s="31" t="n">
        <v>0.00015</v>
      </c>
      <c r="J58" s="15" t="n">
        <f aca="false">-ROUND(H58*I58,2)</f>
        <v>-0.08</v>
      </c>
      <c r="K58" s="15" t="n">
        <f aca="false">ROUND(J58-F58,2)</f>
        <v>0</v>
      </c>
      <c r="L58" s="4" t="str">
        <f aca="false">IF(ABS(K58)&lt;0.005,"OK",IF(ABS(K58)&lt;=0.11,"Rounding / minimum fee","REVIEW"))</f>
        <v>OK</v>
      </c>
    </row>
    <row r="59" customFormat="false" ht="15" hidden="false" customHeight="false" outlineLevel="0" collapsed="false">
      <c r="A59" s="18" t="n">
        <v>56</v>
      </c>
      <c r="B59" s="4" t="s">
        <v>331</v>
      </c>
      <c r="C59" s="4" t="s">
        <v>315</v>
      </c>
      <c r="D59" s="4" t="s">
        <v>422</v>
      </c>
      <c r="E59" s="4" t="s">
        <v>71</v>
      </c>
      <c r="F59" s="15" t="n">
        <v>-0.41</v>
      </c>
      <c r="G59" s="4" t="s">
        <v>368</v>
      </c>
      <c r="H59" s="30" t="n">
        <v>4061.43</v>
      </c>
      <c r="I59" s="31" t="n">
        <v>0.0001</v>
      </c>
      <c r="J59" s="15" t="n">
        <f aca="false">-ROUND(H59*I59,2)</f>
        <v>-0.41</v>
      </c>
      <c r="K59" s="15" t="n">
        <f aca="false">ROUND(J59-F59,2)</f>
        <v>0</v>
      </c>
      <c r="L59" s="4" t="str">
        <f aca="false">IF(ABS(K59)&lt;0.005,"OK",IF(ABS(K59)&lt;=0.11,"Rounding / minimum fee","REVIEW"))</f>
        <v>OK</v>
      </c>
    </row>
    <row r="60" customFormat="false" ht="15" hidden="false" customHeight="false" outlineLevel="0" collapsed="false">
      <c r="A60" s="18" t="n">
        <v>57</v>
      </c>
      <c r="B60" s="4" t="s">
        <v>331</v>
      </c>
      <c r="C60" s="4" t="s">
        <v>315</v>
      </c>
      <c r="D60" s="4" t="s">
        <v>423</v>
      </c>
      <c r="E60" s="4" t="s">
        <v>71</v>
      </c>
      <c r="F60" s="15" t="n">
        <v>-18.88</v>
      </c>
      <c r="G60" s="4" t="s">
        <v>368</v>
      </c>
      <c r="H60" s="30" t="n">
        <v>188837.53</v>
      </c>
      <c r="I60" s="31" t="n">
        <v>0.0001</v>
      </c>
      <c r="J60" s="15" t="n">
        <f aca="false">-ROUND(H60*I60,2)</f>
        <v>-18.88</v>
      </c>
      <c r="K60" s="15" t="n">
        <f aca="false">ROUND(J60-F60,2)</f>
        <v>0</v>
      </c>
      <c r="L60" s="4" t="str">
        <f aca="false">IF(ABS(K60)&lt;0.005,"OK",IF(ABS(K60)&lt;=0.11,"Rounding / minimum fee","REVIEW"))</f>
        <v>OK</v>
      </c>
    </row>
    <row r="61" customFormat="false" ht="15" hidden="false" customHeight="false" outlineLevel="0" collapsed="false">
      <c r="A61" s="18" t="n">
        <v>58</v>
      </c>
      <c r="B61" s="4" t="s">
        <v>331</v>
      </c>
      <c r="C61" s="4" t="s">
        <v>315</v>
      </c>
      <c r="D61" s="4" t="s">
        <v>424</v>
      </c>
      <c r="E61" s="4" t="s">
        <v>71</v>
      </c>
      <c r="F61" s="15" t="n">
        <v>-34.47</v>
      </c>
      <c r="G61" s="4" t="s">
        <v>368</v>
      </c>
      <c r="H61" s="30" t="n">
        <v>68943.27</v>
      </c>
      <c r="I61" s="31" t="n">
        <v>0.0005</v>
      </c>
      <c r="J61" s="15" t="n">
        <f aca="false">-ROUND(H61*I61,2)</f>
        <v>-34.47</v>
      </c>
      <c r="K61" s="15" t="n">
        <f aca="false">ROUND(J61-F61,2)</f>
        <v>0</v>
      </c>
      <c r="L61" s="4" t="str">
        <f aca="false">IF(ABS(K61)&lt;0.005,"OK",IF(ABS(K61)&lt;=0.11,"Rounding / minimum fee","REVIEW"))</f>
        <v>OK</v>
      </c>
    </row>
    <row r="62" customFormat="false" ht="15" hidden="false" customHeight="false" outlineLevel="0" collapsed="false">
      <c r="A62" s="18" t="n">
        <v>59</v>
      </c>
      <c r="B62" s="4" t="s">
        <v>331</v>
      </c>
      <c r="C62" s="4" t="s">
        <v>315</v>
      </c>
      <c r="D62" s="4" t="s">
        <v>425</v>
      </c>
      <c r="E62" s="4" t="s">
        <v>71</v>
      </c>
      <c r="F62" s="15" t="n">
        <v>-32.88</v>
      </c>
      <c r="G62" s="4" t="s">
        <v>368</v>
      </c>
      <c r="H62" s="30" t="n">
        <v>328816.94</v>
      </c>
      <c r="I62" s="31" t="n">
        <v>0.0001</v>
      </c>
      <c r="J62" s="15" t="n">
        <f aca="false">-ROUND(H62*I62,2)</f>
        <v>-32.88</v>
      </c>
      <c r="K62" s="15" t="n">
        <f aca="false">ROUND(J62-F62,2)</f>
        <v>0</v>
      </c>
      <c r="L62" s="4" t="str">
        <f aca="false">IF(ABS(K62)&lt;0.005,"OK",IF(ABS(K62)&lt;=0.11,"Rounding / minimum fee","REVIEW"))</f>
        <v>OK</v>
      </c>
    </row>
    <row r="63" customFormat="false" ht="15" hidden="false" customHeight="false" outlineLevel="0" collapsed="false">
      <c r="A63" s="18" t="n">
        <v>60</v>
      </c>
      <c r="B63" s="4" t="s">
        <v>331</v>
      </c>
      <c r="C63" s="4" t="s">
        <v>315</v>
      </c>
      <c r="D63" s="4" t="s">
        <v>426</v>
      </c>
      <c r="E63" s="4" t="s">
        <v>71</v>
      </c>
      <c r="F63" s="15" t="n">
        <v>-10.67</v>
      </c>
      <c r="G63" s="4" t="s">
        <v>368</v>
      </c>
      <c r="H63" s="30" t="n">
        <v>106666.32</v>
      </c>
      <c r="I63" s="31" t="n">
        <v>0.0001</v>
      </c>
      <c r="J63" s="15" t="n">
        <f aca="false">-ROUND(H63*I63,2)</f>
        <v>-10.67</v>
      </c>
      <c r="K63" s="15" t="n">
        <f aca="false">ROUND(J63-F63,2)</f>
        <v>0</v>
      </c>
      <c r="L63" s="4" t="str">
        <f aca="false">IF(ABS(K63)&lt;0.005,"OK",IF(ABS(K63)&lt;=0.11,"Rounding / minimum fee","REVIEW"))</f>
        <v>OK</v>
      </c>
    </row>
    <row r="64" customFormat="false" ht="15" hidden="false" customHeight="false" outlineLevel="0" collapsed="false">
      <c r="A64" s="18" t="n">
        <v>61</v>
      </c>
      <c r="B64" s="4" t="s">
        <v>331</v>
      </c>
      <c r="C64" s="4" t="s">
        <v>315</v>
      </c>
      <c r="D64" s="4" t="s">
        <v>427</v>
      </c>
      <c r="E64" s="4" t="s">
        <v>71</v>
      </c>
      <c r="F64" s="15" t="n">
        <v>-5.19</v>
      </c>
      <c r="G64" s="4" t="s">
        <v>368</v>
      </c>
      <c r="H64" s="30" t="n">
        <v>51903.96</v>
      </c>
      <c r="I64" s="31" t="n">
        <v>0.0001</v>
      </c>
      <c r="J64" s="15" t="n">
        <f aca="false">-ROUND(H64*I64,2)</f>
        <v>-5.19</v>
      </c>
      <c r="K64" s="15" t="n">
        <f aca="false">ROUND(J64-F64,2)</f>
        <v>0</v>
      </c>
      <c r="L64" s="4" t="str">
        <f aca="false">IF(ABS(K64)&lt;0.005,"OK",IF(ABS(K64)&lt;=0.11,"Rounding / minimum fee","REVIEW"))</f>
        <v>OK</v>
      </c>
    </row>
    <row r="65" customFormat="false" ht="15" hidden="false" customHeight="false" outlineLevel="0" collapsed="false">
      <c r="A65" s="18" t="n">
        <v>62</v>
      </c>
      <c r="B65" s="4" t="s">
        <v>331</v>
      </c>
      <c r="C65" s="4" t="s">
        <v>315</v>
      </c>
      <c r="D65" s="4" t="s">
        <v>428</v>
      </c>
      <c r="E65" s="4" t="s">
        <v>71</v>
      </c>
      <c r="F65" s="15" t="n">
        <v>-0.97</v>
      </c>
      <c r="G65" s="4" t="s">
        <v>368</v>
      </c>
      <c r="H65" s="30" t="n">
        <v>1936.65</v>
      </c>
      <c r="I65" s="31" t="n">
        <v>0.0005</v>
      </c>
      <c r="J65" s="15" t="n">
        <f aca="false">-ROUND(H65*I65,2)</f>
        <v>-0.97</v>
      </c>
      <c r="K65" s="15" t="n">
        <f aca="false">ROUND(J65-F65,2)</f>
        <v>0</v>
      </c>
      <c r="L65" s="4" t="str">
        <f aca="false">IF(ABS(K65)&lt;0.005,"OK",IF(ABS(K65)&lt;=0.11,"Rounding / minimum fee","REVIEW"))</f>
        <v>OK</v>
      </c>
    </row>
    <row r="66" customFormat="false" ht="15" hidden="false" customHeight="false" outlineLevel="0" collapsed="false">
      <c r="A66" s="18" t="n">
        <v>63</v>
      </c>
      <c r="B66" s="4" t="s">
        <v>331</v>
      </c>
      <c r="C66" s="4" t="s">
        <v>315</v>
      </c>
      <c r="D66" s="4" t="s">
        <v>429</v>
      </c>
      <c r="E66" s="4" t="s">
        <v>71</v>
      </c>
      <c r="F66" s="15" t="n">
        <v>-27.02</v>
      </c>
      <c r="G66" s="4" t="s">
        <v>368</v>
      </c>
      <c r="H66" s="30" t="n">
        <v>54037.24</v>
      </c>
      <c r="I66" s="31" t="n">
        <v>0.0005</v>
      </c>
      <c r="J66" s="15" t="n">
        <f aca="false">-ROUND(H66*I66,2)</f>
        <v>-27.02</v>
      </c>
      <c r="K66" s="15" t="n">
        <f aca="false">ROUND(J66-F66,2)</f>
        <v>0</v>
      </c>
      <c r="L66" s="4" t="str">
        <f aca="false">IF(ABS(K66)&lt;0.005,"OK",IF(ABS(K66)&lt;=0.11,"Rounding / minimum fee","REVIEW"))</f>
        <v>OK</v>
      </c>
    </row>
    <row r="67" customFormat="false" ht="15" hidden="false" customHeight="false" outlineLevel="0" collapsed="false">
      <c r="A67" s="18" t="n">
        <v>64</v>
      </c>
      <c r="B67" s="4" t="s">
        <v>331</v>
      </c>
      <c r="C67" s="4" t="s">
        <v>315</v>
      </c>
      <c r="D67" s="4" t="s">
        <v>430</v>
      </c>
      <c r="E67" s="4" t="s">
        <v>71</v>
      </c>
      <c r="F67" s="15" t="n">
        <v>-0.58</v>
      </c>
      <c r="G67" s="4" t="s">
        <v>368</v>
      </c>
      <c r="H67" s="30" t="n">
        <v>1150.38</v>
      </c>
      <c r="I67" s="31" t="n">
        <v>0.0005</v>
      </c>
      <c r="J67" s="15" t="n">
        <f aca="false">-ROUND(H67*I67,2)</f>
        <v>-0.58</v>
      </c>
      <c r="K67" s="15" t="n">
        <f aca="false">ROUND(J67-F67,2)</f>
        <v>0</v>
      </c>
      <c r="L67" s="4" t="str">
        <f aca="false">IF(ABS(K67)&lt;0.005,"OK",IF(ABS(K67)&lt;=0.11,"Rounding / minimum fee","REVIEW"))</f>
        <v>OK</v>
      </c>
    </row>
    <row r="68" customFormat="false" ht="15" hidden="false" customHeight="false" outlineLevel="0" collapsed="false">
      <c r="A68" s="18" t="n">
        <v>65</v>
      </c>
      <c r="B68" s="4" t="s">
        <v>331</v>
      </c>
      <c r="C68" s="4" t="s">
        <v>315</v>
      </c>
      <c r="D68" s="4" t="s">
        <v>431</v>
      </c>
      <c r="E68" s="4" t="s">
        <v>71</v>
      </c>
      <c r="F68" s="15" t="n">
        <v>-4.54</v>
      </c>
      <c r="G68" s="4" t="s">
        <v>368</v>
      </c>
      <c r="H68" s="30" t="n">
        <v>9082.3</v>
      </c>
      <c r="I68" s="31" t="n">
        <v>0.0005</v>
      </c>
      <c r="J68" s="15" t="n">
        <f aca="false">-ROUND(H68*I68,2)</f>
        <v>-4.54</v>
      </c>
      <c r="K68" s="15" t="n">
        <f aca="false">ROUND(J68-F68,2)</f>
        <v>0</v>
      </c>
      <c r="L68" s="4" t="str">
        <f aca="false">IF(ABS(K68)&lt;0.005,"OK",IF(ABS(K68)&lt;=0.11,"Rounding / minimum fee","REVIEW"))</f>
        <v>OK</v>
      </c>
    </row>
    <row r="69" customFormat="false" ht="15" hidden="false" customHeight="false" outlineLevel="0" collapsed="false">
      <c r="A69" s="18" t="n">
        <v>66</v>
      </c>
      <c r="B69" s="4" t="s">
        <v>331</v>
      </c>
      <c r="C69" s="4" t="s">
        <v>315</v>
      </c>
      <c r="D69" s="4" t="s">
        <v>432</v>
      </c>
      <c r="E69" s="4" t="s">
        <v>71</v>
      </c>
      <c r="F69" s="15" t="n">
        <v>-3.5</v>
      </c>
      <c r="G69" s="4" t="s">
        <v>368</v>
      </c>
      <c r="H69" s="30" t="n">
        <v>6997.39</v>
      </c>
      <c r="I69" s="31" t="n">
        <v>0.0005</v>
      </c>
      <c r="J69" s="15" t="n">
        <f aca="false">-ROUND(H69*I69,2)</f>
        <v>-3.5</v>
      </c>
      <c r="K69" s="15" t="n">
        <f aca="false">ROUND(J69-F69,2)</f>
        <v>0</v>
      </c>
      <c r="L69" s="4" t="str">
        <f aca="false">IF(ABS(K69)&lt;0.005,"OK",IF(ABS(K69)&lt;=0.11,"Rounding / minimum fee","REVIEW"))</f>
        <v>OK</v>
      </c>
    </row>
    <row r="70" customFormat="false" ht="15" hidden="false" customHeight="false" outlineLevel="0" collapsed="false">
      <c r="A70" s="18" t="n">
        <v>67</v>
      </c>
      <c r="B70" s="4" t="s">
        <v>331</v>
      </c>
      <c r="C70" s="4" t="s">
        <v>315</v>
      </c>
      <c r="D70" s="4" t="s">
        <v>433</v>
      </c>
      <c r="E70" s="4" t="s">
        <v>71</v>
      </c>
      <c r="F70" s="15" t="n">
        <v>-32.1</v>
      </c>
      <c r="G70" s="4" t="s">
        <v>368</v>
      </c>
      <c r="H70" s="30" t="n">
        <v>64204.55</v>
      </c>
      <c r="I70" s="31" t="n">
        <v>0.0005</v>
      </c>
      <c r="J70" s="15" t="n">
        <f aca="false">-ROUND(H70*I70,2)</f>
        <v>-32.1</v>
      </c>
      <c r="K70" s="15" t="n">
        <f aca="false">ROUND(J70-F70,2)</f>
        <v>0</v>
      </c>
      <c r="L70" s="4" t="str">
        <f aca="false">IF(ABS(K70)&lt;0.005,"OK",IF(ABS(K70)&lt;=0.11,"Rounding / minimum fee","REVIEW"))</f>
        <v>OK</v>
      </c>
    </row>
    <row r="71" customFormat="false" ht="15" hidden="false" customHeight="false" outlineLevel="0" collapsed="false">
      <c r="A71" s="18" t="n">
        <v>68</v>
      </c>
      <c r="B71" s="4" t="s">
        <v>331</v>
      </c>
      <c r="C71" s="4" t="s">
        <v>315</v>
      </c>
      <c r="D71" s="4" t="s">
        <v>434</v>
      </c>
      <c r="E71" s="4" t="s">
        <v>71</v>
      </c>
      <c r="F71" s="15" t="n">
        <v>-1.01</v>
      </c>
      <c r="G71" s="4" t="s">
        <v>368</v>
      </c>
      <c r="H71" s="30" t="n">
        <v>2018.5</v>
      </c>
      <c r="I71" s="31" t="n">
        <v>0.0005</v>
      </c>
      <c r="J71" s="15" t="n">
        <f aca="false">-ROUND(H71*I71,2)</f>
        <v>-1.01</v>
      </c>
      <c r="K71" s="15" t="n">
        <f aca="false">ROUND(J71-F71,2)</f>
        <v>0</v>
      </c>
      <c r="L71" s="4" t="str">
        <f aca="false">IF(ABS(K71)&lt;0.005,"OK",IF(ABS(K71)&lt;=0.11,"Rounding / minimum fee","REVIEW"))</f>
        <v>OK</v>
      </c>
    </row>
    <row r="72" customFormat="false" ht="15" hidden="false" customHeight="false" outlineLevel="0" collapsed="false">
      <c r="A72" s="18" t="n">
        <v>69</v>
      </c>
      <c r="B72" s="4" t="s">
        <v>331</v>
      </c>
      <c r="C72" s="4" t="s">
        <v>315</v>
      </c>
      <c r="D72" s="4" t="s">
        <v>435</v>
      </c>
      <c r="E72" s="4" t="s">
        <v>71</v>
      </c>
      <c r="F72" s="15" t="n">
        <v>-14.06</v>
      </c>
      <c r="G72" s="4" t="s">
        <v>368</v>
      </c>
      <c r="H72" s="30" t="n">
        <v>140613.07</v>
      </c>
      <c r="I72" s="31" t="n">
        <v>0.0001</v>
      </c>
      <c r="J72" s="15" t="n">
        <f aca="false">-ROUND(H72*I72,2)</f>
        <v>-14.06</v>
      </c>
      <c r="K72" s="15" t="n">
        <f aca="false">ROUND(J72-F72,2)</f>
        <v>0</v>
      </c>
      <c r="L72" s="4" t="str">
        <f aca="false">IF(ABS(K72)&lt;0.005,"OK",IF(ABS(K72)&lt;=0.11,"Rounding / minimum fee","REVIEW"))</f>
        <v>OK</v>
      </c>
    </row>
    <row r="73" customFormat="false" ht="15" hidden="false" customHeight="false" outlineLevel="0" collapsed="false">
      <c r="A73" s="18" t="n">
        <v>70</v>
      </c>
      <c r="B73" s="4" t="s">
        <v>331</v>
      </c>
      <c r="C73" s="4" t="s">
        <v>315</v>
      </c>
      <c r="D73" s="4" t="s">
        <v>436</v>
      </c>
      <c r="E73" s="4" t="s">
        <v>71</v>
      </c>
      <c r="F73" s="15" t="n">
        <v>-18.37</v>
      </c>
      <c r="G73" s="4" t="s">
        <v>368</v>
      </c>
      <c r="H73" s="30" t="n">
        <v>183672.6</v>
      </c>
      <c r="I73" s="31" t="n">
        <v>0.0001</v>
      </c>
      <c r="J73" s="15" t="n">
        <f aca="false">-ROUND(H73*I73,2)</f>
        <v>-18.37</v>
      </c>
      <c r="K73" s="15" t="n">
        <f aca="false">ROUND(J73-F73,2)</f>
        <v>0</v>
      </c>
      <c r="L73" s="4" t="str">
        <f aca="false">IF(ABS(K73)&lt;0.005,"OK",IF(ABS(K73)&lt;=0.11,"Rounding / minimum fee","REVIEW"))</f>
        <v>OK</v>
      </c>
    </row>
    <row r="74" customFormat="false" ht="15" hidden="false" customHeight="false" outlineLevel="0" collapsed="false">
      <c r="A74" s="18" t="n">
        <v>71</v>
      </c>
      <c r="B74" s="4" t="s">
        <v>331</v>
      </c>
      <c r="C74" s="4" t="s">
        <v>315</v>
      </c>
      <c r="D74" s="4" t="s">
        <v>437</v>
      </c>
      <c r="E74" s="4" t="s">
        <v>71</v>
      </c>
      <c r="F74" s="15" t="n">
        <v>-39.1</v>
      </c>
      <c r="G74" s="4" t="s">
        <v>368</v>
      </c>
      <c r="H74" s="30" t="n">
        <v>78195.18</v>
      </c>
      <c r="I74" s="31" t="n">
        <v>0.0005</v>
      </c>
      <c r="J74" s="15" t="n">
        <f aca="false">-ROUND(H74*I74,2)</f>
        <v>-39.1</v>
      </c>
      <c r="K74" s="15" t="n">
        <f aca="false">ROUND(J74-F74,2)</f>
        <v>0</v>
      </c>
      <c r="L74" s="4" t="str">
        <f aca="false">IF(ABS(K74)&lt;0.005,"OK",IF(ABS(K74)&lt;=0.11,"Rounding / minimum fee","REVIEW"))</f>
        <v>OK</v>
      </c>
    </row>
    <row r="75" customFormat="false" ht="15" hidden="false" customHeight="false" outlineLevel="0" collapsed="false">
      <c r="A75" s="18" t="n">
        <v>72</v>
      </c>
      <c r="B75" s="4" t="s">
        <v>331</v>
      </c>
      <c r="C75" s="4" t="s">
        <v>315</v>
      </c>
      <c r="D75" s="4" t="s">
        <v>438</v>
      </c>
      <c r="E75" s="4" t="s">
        <v>71</v>
      </c>
      <c r="F75" s="15" t="n">
        <v>-6.06</v>
      </c>
      <c r="G75" s="4" t="s">
        <v>368</v>
      </c>
      <c r="H75" s="30" t="n">
        <v>12123.41</v>
      </c>
      <c r="I75" s="31" t="n">
        <v>0.0005</v>
      </c>
      <c r="J75" s="15" t="n">
        <f aca="false">-ROUND(H75*I75,2)</f>
        <v>-6.06</v>
      </c>
      <c r="K75" s="15" t="n">
        <f aca="false">ROUND(J75-F75,2)</f>
        <v>0</v>
      </c>
      <c r="L75" s="4" t="str">
        <f aca="false">IF(ABS(K75)&lt;0.005,"OK",IF(ABS(K75)&lt;=0.11,"Rounding / minimum fee","REVIEW"))</f>
        <v>OK</v>
      </c>
    </row>
    <row r="76" customFormat="false" ht="15" hidden="false" customHeight="false" outlineLevel="0" collapsed="false">
      <c r="A76" s="18" t="n">
        <v>73</v>
      </c>
      <c r="B76" s="4" t="s">
        <v>331</v>
      </c>
      <c r="C76" s="4" t="s">
        <v>315</v>
      </c>
      <c r="D76" s="4" t="s">
        <v>439</v>
      </c>
      <c r="E76" s="4" t="s">
        <v>71</v>
      </c>
      <c r="F76" s="15" t="n">
        <v>-22.72</v>
      </c>
      <c r="G76" s="4" t="s">
        <v>368</v>
      </c>
      <c r="H76" s="30" t="n">
        <v>227211.87</v>
      </c>
      <c r="I76" s="31" t="n">
        <v>0.0001</v>
      </c>
      <c r="J76" s="15" t="n">
        <f aca="false">-ROUND(H76*I76,2)</f>
        <v>-22.72</v>
      </c>
      <c r="K76" s="15" t="n">
        <f aca="false">ROUND(J76-F76,2)</f>
        <v>0</v>
      </c>
      <c r="L76" s="4" t="str">
        <f aca="false">IF(ABS(K76)&lt;0.005,"OK",IF(ABS(K76)&lt;=0.11,"Rounding / minimum fee","REVIEW"))</f>
        <v>OK</v>
      </c>
    </row>
    <row r="77" customFormat="false" ht="15" hidden="false" customHeight="false" outlineLevel="0" collapsed="false">
      <c r="A77" s="18" t="n">
        <v>74</v>
      </c>
      <c r="B77" s="4" t="s">
        <v>331</v>
      </c>
      <c r="C77" s="4" t="s">
        <v>315</v>
      </c>
      <c r="D77" s="4" t="s">
        <v>440</v>
      </c>
      <c r="E77" s="4" t="s">
        <v>71</v>
      </c>
      <c r="F77" s="15" t="n">
        <v>-11.54</v>
      </c>
      <c r="G77" s="4" t="s">
        <v>368</v>
      </c>
      <c r="H77" s="30" t="n">
        <v>115405.16</v>
      </c>
      <c r="I77" s="31" t="n">
        <v>0.0001</v>
      </c>
      <c r="J77" s="15" t="n">
        <f aca="false">-ROUND(H77*I77,2)</f>
        <v>-11.54</v>
      </c>
      <c r="K77" s="15" t="n">
        <f aca="false">ROUND(J77-F77,2)</f>
        <v>0</v>
      </c>
      <c r="L77" s="4" t="str">
        <f aca="false">IF(ABS(K77)&lt;0.005,"OK",IF(ABS(K77)&lt;=0.11,"Rounding / minimum fee","REVIEW"))</f>
        <v>OK</v>
      </c>
    </row>
    <row r="78" customFormat="false" ht="15" hidden="false" customHeight="false" outlineLevel="0" collapsed="false">
      <c r="A78" s="18" t="n">
        <v>75</v>
      </c>
      <c r="B78" s="4" t="s">
        <v>331</v>
      </c>
      <c r="C78" s="4" t="s">
        <v>315</v>
      </c>
      <c r="D78" s="4" t="s">
        <v>441</v>
      </c>
      <c r="E78" s="4" t="s">
        <v>71</v>
      </c>
      <c r="F78" s="15" t="n">
        <v>-20.28</v>
      </c>
      <c r="G78" s="4" t="s">
        <v>368</v>
      </c>
      <c r="H78" s="30" t="n">
        <v>202774.89</v>
      </c>
      <c r="I78" s="31" t="n">
        <v>0.0001</v>
      </c>
      <c r="J78" s="15" t="n">
        <f aca="false">-ROUND(H78*I78,2)</f>
        <v>-20.28</v>
      </c>
      <c r="K78" s="15" t="n">
        <f aca="false">ROUND(J78-F78,2)</f>
        <v>0</v>
      </c>
      <c r="L78" s="4" t="str">
        <f aca="false">IF(ABS(K78)&lt;0.005,"OK",IF(ABS(K78)&lt;=0.11,"Rounding / minimum fee","REVIEW"))</f>
        <v>OK</v>
      </c>
    </row>
    <row r="79" customFormat="false" ht="15" hidden="false" customHeight="false" outlineLevel="0" collapsed="false">
      <c r="A79" s="18" t="n">
        <v>76</v>
      </c>
      <c r="B79" s="4" t="s">
        <v>331</v>
      </c>
      <c r="C79" s="4" t="s">
        <v>315</v>
      </c>
      <c r="D79" s="4" t="s">
        <v>442</v>
      </c>
      <c r="E79" s="4" t="s">
        <v>71</v>
      </c>
      <c r="F79" s="15" t="n">
        <v>-2.5</v>
      </c>
      <c r="G79" s="4" t="s">
        <v>368</v>
      </c>
      <c r="H79" s="30" t="n">
        <v>24975.95</v>
      </c>
      <c r="I79" s="31" t="n">
        <v>0.0001</v>
      </c>
      <c r="J79" s="15" t="n">
        <f aca="false">-ROUND(H79*I79,2)</f>
        <v>-2.5</v>
      </c>
      <c r="K79" s="15" t="n">
        <f aca="false">ROUND(J79-F79,2)</f>
        <v>0</v>
      </c>
      <c r="L79" s="4" t="str">
        <f aca="false">IF(ABS(K79)&lt;0.005,"OK",IF(ABS(K79)&lt;=0.11,"Rounding / minimum fee","REVIEW"))</f>
        <v>OK</v>
      </c>
    </row>
    <row r="80" customFormat="false" ht="15" hidden="false" customHeight="false" outlineLevel="0" collapsed="false">
      <c r="A80" s="18" t="n">
        <v>77</v>
      </c>
      <c r="B80" s="4" t="s">
        <v>331</v>
      </c>
      <c r="C80" s="4" t="s">
        <v>315</v>
      </c>
      <c r="D80" s="4" t="s">
        <v>443</v>
      </c>
      <c r="E80" s="4" t="s">
        <v>71</v>
      </c>
      <c r="F80" s="15" t="n">
        <v>-35.9</v>
      </c>
      <c r="G80" s="4" t="s">
        <v>368</v>
      </c>
      <c r="H80" s="30" t="n">
        <v>359036.04</v>
      </c>
      <c r="I80" s="31" t="n">
        <v>0.0001</v>
      </c>
      <c r="J80" s="15" t="n">
        <f aca="false">-ROUND(H80*I80,2)</f>
        <v>-35.9</v>
      </c>
      <c r="K80" s="15" t="n">
        <f aca="false">ROUND(J80-F80,2)</f>
        <v>0</v>
      </c>
      <c r="L80" s="4" t="str">
        <f aca="false">IF(ABS(K80)&lt;0.005,"OK",IF(ABS(K80)&lt;=0.11,"Rounding / minimum fee","REVIEW"))</f>
        <v>OK</v>
      </c>
    </row>
    <row r="81" customFormat="false" ht="15" hidden="false" customHeight="false" outlineLevel="0" collapsed="false">
      <c r="A81" s="18" t="n">
        <v>78</v>
      </c>
      <c r="B81" s="4" t="s">
        <v>331</v>
      </c>
      <c r="C81" s="4" t="s">
        <v>315</v>
      </c>
      <c r="D81" s="4" t="s">
        <v>444</v>
      </c>
      <c r="E81" s="4" t="s">
        <v>71</v>
      </c>
      <c r="F81" s="15" t="n">
        <v>-20.01</v>
      </c>
      <c r="G81" s="4" t="s">
        <v>368</v>
      </c>
      <c r="H81" s="30" t="n">
        <v>200053.12</v>
      </c>
      <c r="I81" s="31" t="n">
        <v>0.0001</v>
      </c>
      <c r="J81" s="15" t="n">
        <f aca="false">-ROUND(H81*I81,2)</f>
        <v>-20.01</v>
      </c>
      <c r="K81" s="15" t="n">
        <f aca="false">ROUND(J81-F81,2)</f>
        <v>0</v>
      </c>
      <c r="L81" s="4" t="str">
        <f aca="false">IF(ABS(K81)&lt;0.005,"OK",IF(ABS(K81)&lt;=0.11,"Rounding / minimum fee","REVIEW"))</f>
        <v>OK</v>
      </c>
    </row>
    <row r="82" customFormat="false" ht="15" hidden="false" customHeight="false" outlineLevel="0" collapsed="false">
      <c r="A82" s="18" t="n">
        <v>79</v>
      </c>
      <c r="B82" s="4" t="s">
        <v>331</v>
      </c>
      <c r="C82" s="4" t="s">
        <v>315</v>
      </c>
      <c r="D82" s="4" t="s">
        <v>445</v>
      </c>
      <c r="E82" s="4" t="s">
        <v>71</v>
      </c>
      <c r="F82" s="15" t="n">
        <v>-14.64</v>
      </c>
      <c r="G82" s="4" t="s">
        <v>368</v>
      </c>
      <c r="H82" s="30" t="n">
        <v>146449.29</v>
      </c>
      <c r="I82" s="31" t="n">
        <v>0.0001</v>
      </c>
      <c r="J82" s="15" t="n">
        <f aca="false">-ROUND(H82*I82,2)</f>
        <v>-14.64</v>
      </c>
      <c r="K82" s="15" t="n">
        <f aca="false">ROUND(J82-F82,2)</f>
        <v>0</v>
      </c>
      <c r="L82" s="4" t="str">
        <f aca="false">IF(ABS(K82)&lt;0.005,"OK",IF(ABS(K82)&lt;=0.11,"Rounding / minimum fee","REVIEW"))</f>
        <v>OK</v>
      </c>
    </row>
    <row r="83" customFormat="false" ht="15" hidden="false" customHeight="false" outlineLevel="0" collapsed="false">
      <c r="A83" s="18" t="n">
        <v>80</v>
      </c>
      <c r="B83" s="4" t="s">
        <v>331</v>
      </c>
      <c r="C83" s="4" t="s">
        <v>315</v>
      </c>
      <c r="D83" s="4" t="s">
        <v>446</v>
      </c>
      <c r="E83" s="4" t="s">
        <v>71</v>
      </c>
      <c r="F83" s="15" t="n">
        <v>-1.8</v>
      </c>
      <c r="G83" s="4" t="s">
        <v>368</v>
      </c>
      <c r="H83" s="30" t="n">
        <v>3602.84</v>
      </c>
      <c r="I83" s="31" t="n">
        <v>0.0005</v>
      </c>
      <c r="J83" s="15" t="n">
        <f aca="false">-ROUND(H83*I83,2)</f>
        <v>-1.8</v>
      </c>
      <c r="K83" s="15" t="n">
        <f aca="false">ROUND(J83-F83,2)</f>
        <v>0</v>
      </c>
      <c r="L83" s="4" t="str">
        <f aca="false">IF(ABS(K83)&lt;0.005,"OK",IF(ABS(K83)&lt;=0.11,"Rounding / minimum fee","REVIEW"))</f>
        <v>OK</v>
      </c>
    </row>
    <row r="84" customFormat="false" ht="15" hidden="false" customHeight="false" outlineLevel="0" collapsed="false">
      <c r="A84" s="18" t="n">
        <v>81</v>
      </c>
      <c r="B84" s="4" t="s">
        <v>331</v>
      </c>
      <c r="C84" s="4" t="s">
        <v>315</v>
      </c>
      <c r="D84" s="4" t="s">
        <v>447</v>
      </c>
      <c r="E84" s="4" t="s">
        <v>71</v>
      </c>
      <c r="F84" s="15" t="n">
        <v>-22.17</v>
      </c>
      <c r="G84" s="4" t="s">
        <v>368</v>
      </c>
      <c r="H84" s="30" t="n">
        <v>221722.86</v>
      </c>
      <c r="I84" s="31" t="n">
        <v>0.0001</v>
      </c>
      <c r="J84" s="15" t="n">
        <f aca="false">-ROUND(H84*I84,2)</f>
        <v>-22.17</v>
      </c>
      <c r="K84" s="15" t="n">
        <f aca="false">ROUND(J84-F84,2)</f>
        <v>0</v>
      </c>
      <c r="L84" s="4" t="str">
        <f aca="false">IF(ABS(K84)&lt;0.005,"OK",IF(ABS(K84)&lt;=0.11,"Rounding / minimum fee","REVIEW"))</f>
        <v>OK</v>
      </c>
    </row>
    <row r="85" customFormat="false" ht="15" hidden="false" customHeight="false" outlineLevel="0" collapsed="false">
      <c r="A85" s="18" t="n">
        <v>82</v>
      </c>
      <c r="B85" s="4" t="s">
        <v>331</v>
      </c>
      <c r="C85" s="4" t="s">
        <v>315</v>
      </c>
      <c r="D85" s="4" t="s">
        <v>448</v>
      </c>
      <c r="E85" s="4" t="s">
        <v>71</v>
      </c>
      <c r="F85" s="15" t="n">
        <v>-2.73</v>
      </c>
      <c r="G85" s="4" t="s">
        <v>368</v>
      </c>
      <c r="H85" s="30" t="n">
        <v>27270.75</v>
      </c>
      <c r="I85" s="31" t="n">
        <v>0.0001</v>
      </c>
      <c r="J85" s="15" t="n">
        <f aca="false">-ROUND(H85*I85,2)</f>
        <v>-2.73</v>
      </c>
      <c r="K85" s="15" t="n">
        <f aca="false">ROUND(J85-F85,2)</f>
        <v>0</v>
      </c>
      <c r="L85" s="4" t="str">
        <f aca="false">IF(ABS(K85)&lt;0.005,"OK",IF(ABS(K85)&lt;=0.11,"Rounding / minimum fee","REVIEW"))</f>
        <v>OK</v>
      </c>
    </row>
    <row r="86" customFormat="false" ht="15" hidden="false" customHeight="false" outlineLevel="0" collapsed="false">
      <c r="A86" s="18" t="n">
        <v>83</v>
      </c>
      <c r="B86" s="4" t="s">
        <v>331</v>
      </c>
      <c r="C86" s="4" t="s">
        <v>315</v>
      </c>
      <c r="D86" s="4" t="s">
        <v>449</v>
      </c>
      <c r="E86" s="4" t="s">
        <v>71</v>
      </c>
      <c r="F86" s="15" t="n">
        <v>-19.72</v>
      </c>
      <c r="G86" s="4" t="s">
        <v>368</v>
      </c>
      <c r="H86" s="30" t="n">
        <v>197168.31</v>
      </c>
      <c r="I86" s="31" t="n">
        <v>0.0001</v>
      </c>
      <c r="J86" s="15" t="n">
        <f aca="false">-ROUND(H86*I86,2)</f>
        <v>-19.72</v>
      </c>
      <c r="K86" s="15" t="n">
        <f aca="false">ROUND(J86-F86,2)</f>
        <v>0</v>
      </c>
      <c r="L86" s="4" t="str">
        <f aca="false">IF(ABS(K86)&lt;0.005,"OK",IF(ABS(K86)&lt;=0.11,"Rounding / minimum fee","REVIEW"))</f>
        <v>OK</v>
      </c>
    </row>
    <row r="87" customFormat="false" ht="15" hidden="false" customHeight="false" outlineLevel="0" collapsed="false">
      <c r="A87" s="18" t="n">
        <v>84</v>
      </c>
      <c r="B87" s="4" t="s">
        <v>331</v>
      </c>
      <c r="C87" s="4" t="s">
        <v>315</v>
      </c>
      <c r="D87" s="4" t="s">
        <v>450</v>
      </c>
      <c r="E87" s="4" t="s">
        <v>71</v>
      </c>
      <c r="F87" s="15" t="n">
        <v>-9.54</v>
      </c>
      <c r="G87" s="4" t="s">
        <v>368</v>
      </c>
      <c r="H87" s="30" t="n">
        <v>95397.73</v>
      </c>
      <c r="I87" s="31" t="n">
        <v>0.0001</v>
      </c>
      <c r="J87" s="15" t="n">
        <f aca="false">-ROUND(H87*I87,2)</f>
        <v>-9.54</v>
      </c>
      <c r="K87" s="15" t="n">
        <f aca="false">ROUND(J87-F87,2)</f>
        <v>0</v>
      </c>
      <c r="L87" s="4" t="str">
        <f aca="false">IF(ABS(K87)&lt;0.005,"OK",IF(ABS(K87)&lt;=0.11,"Rounding / minimum fee","REVIEW"))</f>
        <v>OK</v>
      </c>
    </row>
    <row r="88" customFormat="false" ht="15" hidden="false" customHeight="false" outlineLevel="0" collapsed="false">
      <c r="A88" s="18" t="n">
        <v>85</v>
      </c>
      <c r="B88" s="4" t="s">
        <v>331</v>
      </c>
      <c r="C88" s="4" t="s">
        <v>315</v>
      </c>
      <c r="D88" s="4" t="s">
        <v>451</v>
      </c>
      <c r="E88" s="4" t="s">
        <v>71</v>
      </c>
      <c r="F88" s="15" t="n">
        <v>-0.48</v>
      </c>
      <c r="G88" s="4" t="s">
        <v>368</v>
      </c>
      <c r="H88" s="30" t="n">
        <v>956.03</v>
      </c>
      <c r="I88" s="31" t="n">
        <v>0.0005</v>
      </c>
      <c r="J88" s="15" t="n">
        <f aca="false">-ROUND(H88*I88,2)</f>
        <v>-0.48</v>
      </c>
      <c r="K88" s="15" t="n">
        <f aca="false">ROUND(J88-F88,2)</f>
        <v>0</v>
      </c>
      <c r="L88" s="4" t="str">
        <f aca="false">IF(ABS(K88)&lt;0.005,"OK",IF(ABS(K88)&lt;=0.11,"Rounding / minimum fee","REVIEW"))</f>
        <v>OK</v>
      </c>
    </row>
    <row r="89" customFormat="false" ht="15" hidden="false" customHeight="false" outlineLevel="0" collapsed="false">
      <c r="A89" s="18" t="n">
        <v>86</v>
      </c>
      <c r="B89" s="4" t="s">
        <v>331</v>
      </c>
      <c r="C89" s="4" t="s">
        <v>315</v>
      </c>
      <c r="D89" s="4" t="s">
        <v>452</v>
      </c>
      <c r="E89" s="4" t="s">
        <v>71</v>
      </c>
      <c r="F89" s="15" t="n">
        <v>-6.48</v>
      </c>
      <c r="G89" s="4" t="s">
        <v>368</v>
      </c>
      <c r="H89" s="30" t="n">
        <v>12962.79</v>
      </c>
      <c r="I89" s="31" t="n">
        <v>0.0005</v>
      </c>
      <c r="J89" s="15" t="n">
        <f aca="false">-ROUND(H89*I89,2)</f>
        <v>-6.48</v>
      </c>
      <c r="K89" s="15" t="n">
        <f aca="false">ROUND(J89-F89,2)</f>
        <v>0</v>
      </c>
      <c r="L89" s="4" t="str">
        <f aca="false">IF(ABS(K89)&lt;0.005,"OK",IF(ABS(K89)&lt;=0.11,"Rounding / minimum fee","REVIEW"))</f>
        <v>OK</v>
      </c>
    </row>
    <row r="90" customFormat="false" ht="15" hidden="false" customHeight="false" outlineLevel="0" collapsed="false">
      <c r="A90" s="18" t="n">
        <v>87</v>
      </c>
      <c r="B90" s="4" t="s">
        <v>331</v>
      </c>
      <c r="C90" s="4" t="s">
        <v>315</v>
      </c>
      <c r="D90" s="4" t="s">
        <v>453</v>
      </c>
      <c r="E90" s="4" t="s">
        <v>71</v>
      </c>
      <c r="F90" s="15" t="n">
        <v>-11.05</v>
      </c>
      <c r="G90" s="4" t="s">
        <v>368</v>
      </c>
      <c r="H90" s="30" t="n">
        <v>110502.67</v>
      </c>
      <c r="I90" s="31" t="n">
        <v>0.0001</v>
      </c>
      <c r="J90" s="15" t="n">
        <f aca="false">-ROUND(H90*I90,2)</f>
        <v>-11.05</v>
      </c>
      <c r="K90" s="15" t="n">
        <f aca="false">ROUND(J90-F90,2)</f>
        <v>0</v>
      </c>
      <c r="L90" s="4" t="str">
        <f aca="false">IF(ABS(K90)&lt;0.005,"OK",IF(ABS(K90)&lt;=0.11,"Rounding / minimum fee","REVIEW"))</f>
        <v>OK</v>
      </c>
    </row>
    <row r="91" customFormat="false" ht="15" hidden="false" customHeight="false" outlineLevel="0" collapsed="false">
      <c r="A91" s="18" t="n">
        <v>88</v>
      </c>
      <c r="B91" s="4" t="s">
        <v>331</v>
      </c>
      <c r="C91" s="4" t="s">
        <v>315</v>
      </c>
      <c r="D91" s="4" t="s">
        <v>454</v>
      </c>
      <c r="E91" s="4" t="s">
        <v>71</v>
      </c>
      <c r="F91" s="15" t="n">
        <v>-71.04</v>
      </c>
      <c r="G91" s="4" t="s">
        <v>368</v>
      </c>
      <c r="H91" s="30" t="n">
        <v>142087.96</v>
      </c>
      <c r="I91" s="31" t="n">
        <v>0.0005</v>
      </c>
      <c r="J91" s="15" t="n">
        <f aca="false">-ROUND(H91*I91,2)</f>
        <v>-71.04</v>
      </c>
      <c r="K91" s="15" t="n">
        <f aca="false">ROUND(J91-F91,2)</f>
        <v>0</v>
      </c>
      <c r="L91" s="4" t="str">
        <f aca="false">IF(ABS(K91)&lt;0.005,"OK",IF(ABS(K91)&lt;=0.11,"Rounding / minimum fee","REVIEW"))</f>
        <v>OK</v>
      </c>
    </row>
    <row r="92" customFormat="false" ht="15" hidden="false" customHeight="false" outlineLevel="0" collapsed="false">
      <c r="A92" s="18" t="n">
        <v>89</v>
      </c>
      <c r="B92" s="4" t="s">
        <v>331</v>
      </c>
      <c r="C92" s="4" t="s">
        <v>315</v>
      </c>
      <c r="D92" s="4" t="s">
        <v>455</v>
      </c>
      <c r="E92" s="4" t="s">
        <v>71</v>
      </c>
      <c r="F92" s="15" t="n">
        <v>-16</v>
      </c>
      <c r="G92" s="4" t="s">
        <v>368</v>
      </c>
      <c r="H92" s="30" t="n">
        <v>31999.8</v>
      </c>
      <c r="I92" s="31" t="n">
        <v>0.0005</v>
      </c>
      <c r="J92" s="15" t="n">
        <f aca="false">-ROUND(H92*I92,2)</f>
        <v>-16</v>
      </c>
      <c r="K92" s="15" t="n">
        <f aca="false">ROUND(J92-F92,2)</f>
        <v>0</v>
      </c>
      <c r="L92" s="4" t="str">
        <f aca="false">IF(ABS(K92)&lt;0.005,"OK",IF(ABS(K92)&lt;=0.11,"Rounding / minimum fee","REVIEW"))</f>
        <v>OK</v>
      </c>
    </row>
    <row r="93" customFormat="false" ht="15" hidden="false" customHeight="false" outlineLevel="0" collapsed="false">
      <c r="A93" s="18" t="n">
        <v>90</v>
      </c>
      <c r="B93" s="4" t="s">
        <v>331</v>
      </c>
      <c r="C93" s="4" t="s">
        <v>315</v>
      </c>
      <c r="D93" s="4" t="s">
        <v>456</v>
      </c>
      <c r="E93" s="4" t="s">
        <v>71</v>
      </c>
      <c r="F93" s="15" t="n">
        <v>-1.57</v>
      </c>
      <c r="G93" s="4" t="s">
        <v>368</v>
      </c>
      <c r="H93" s="30" t="n">
        <v>15659.79</v>
      </c>
      <c r="I93" s="31" t="n">
        <v>0.0001</v>
      </c>
      <c r="J93" s="15" t="n">
        <f aca="false">-ROUND(H93*I93,2)</f>
        <v>-1.57</v>
      </c>
      <c r="K93" s="15" t="n">
        <f aca="false">ROUND(J93-F93,2)</f>
        <v>0</v>
      </c>
      <c r="L93" s="4" t="str">
        <f aca="false">IF(ABS(K93)&lt;0.005,"OK",IF(ABS(K93)&lt;=0.11,"Rounding / minimum fee","REVIEW"))</f>
        <v>OK</v>
      </c>
    </row>
    <row r="94" customFormat="false" ht="15" hidden="false" customHeight="false" outlineLevel="0" collapsed="false">
      <c r="A94" s="18" t="n">
        <v>91</v>
      </c>
      <c r="B94" s="4" t="s">
        <v>331</v>
      </c>
      <c r="C94" s="4" t="s">
        <v>315</v>
      </c>
      <c r="D94" s="4" t="s">
        <v>457</v>
      </c>
      <c r="E94" s="4" t="s">
        <v>71</v>
      </c>
      <c r="F94" s="15" t="n">
        <v>-15.4</v>
      </c>
      <c r="G94" s="4" t="s">
        <v>368</v>
      </c>
      <c r="H94" s="30" t="n">
        <v>30807.83</v>
      </c>
      <c r="I94" s="31" t="n">
        <v>0.0005</v>
      </c>
      <c r="J94" s="15" t="n">
        <f aca="false">-ROUND(H94*I94,2)</f>
        <v>-15.4</v>
      </c>
      <c r="K94" s="15" t="n">
        <f aca="false">ROUND(J94-F94,2)</f>
        <v>0</v>
      </c>
      <c r="L94" s="4" t="str">
        <f aca="false">IF(ABS(K94)&lt;0.005,"OK",IF(ABS(K94)&lt;=0.11,"Rounding / minimum fee","REVIEW"))</f>
        <v>OK</v>
      </c>
    </row>
    <row r="95" customFormat="false" ht="15" hidden="false" customHeight="false" outlineLevel="0" collapsed="false">
      <c r="A95" s="18" t="n">
        <v>92</v>
      </c>
      <c r="B95" s="4" t="s">
        <v>331</v>
      </c>
      <c r="C95" s="4" t="s">
        <v>315</v>
      </c>
      <c r="D95" s="4" t="s">
        <v>458</v>
      </c>
      <c r="E95" s="4" t="s">
        <v>71</v>
      </c>
      <c r="F95" s="15" t="n">
        <v>-9.9</v>
      </c>
      <c r="G95" s="4" t="s">
        <v>368</v>
      </c>
      <c r="H95" s="30" t="n">
        <v>19808.41</v>
      </c>
      <c r="I95" s="31" t="n">
        <v>0.0005</v>
      </c>
      <c r="J95" s="15" t="n">
        <f aca="false">-ROUND(H95*I95,2)</f>
        <v>-9.9</v>
      </c>
      <c r="K95" s="15" t="n">
        <f aca="false">ROUND(J95-F95,2)</f>
        <v>0</v>
      </c>
      <c r="L95" s="4" t="str">
        <f aca="false">IF(ABS(K95)&lt;0.005,"OK",IF(ABS(K95)&lt;=0.11,"Rounding / minimum fee","REVIEW"))</f>
        <v>OK</v>
      </c>
    </row>
    <row r="96" customFormat="false" ht="15" hidden="false" customHeight="false" outlineLevel="0" collapsed="false">
      <c r="A96" s="18" t="n">
        <v>93</v>
      </c>
      <c r="B96" s="4" t="s">
        <v>331</v>
      </c>
      <c r="C96" s="4" t="s">
        <v>315</v>
      </c>
      <c r="D96" s="4" t="s">
        <v>459</v>
      </c>
      <c r="E96" s="4" t="s">
        <v>71</v>
      </c>
      <c r="F96" s="15" t="n">
        <v>-4.58</v>
      </c>
      <c r="G96" s="4" t="s">
        <v>368</v>
      </c>
      <c r="H96" s="30" t="n">
        <v>9161.08</v>
      </c>
      <c r="I96" s="31" t="n">
        <v>0.0005</v>
      </c>
      <c r="J96" s="15" t="n">
        <f aca="false">-ROUND(H96*I96,2)</f>
        <v>-4.58</v>
      </c>
      <c r="K96" s="15" t="n">
        <f aca="false">ROUND(J96-F96,2)</f>
        <v>0</v>
      </c>
      <c r="L96" s="4" t="str">
        <f aca="false">IF(ABS(K96)&lt;0.005,"OK",IF(ABS(K96)&lt;=0.11,"Rounding / minimum fee","REVIEW"))</f>
        <v>OK</v>
      </c>
    </row>
    <row r="97" customFormat="false" ht="15" hidden="false" customHeight="false" outlineLevel="0" collapsed="false">
      <c r="A97" s="18" t="n">
        <v>94</v>
      </c>
      <c r="B97" s="4" t="s">
        <v>331</v>
      </c>
      <c r="C97" s="4" t="s">
        <v>315</v>
      </c>
      <c r="D97" s="4" t="s">
        <v>460</v>
      </c>
      <c r="E97" s="4" t="s">
        <v>71</v>
      </c>
      <c r="F97" s="15" t="n">
        <v>-9.36</v>
      </c>
      <c r="G97" s="4" t="s">
        <v>368</v>
      </c>
      <c r="H97" s="30" t="n">
        <v>18711</v>
      </c>
      <c r="I97" s="31" t="n">
        <v>0.0005</v>
      </c>
      <c r="J97" s="15" t="n">
        <f aca="false">-ROUND(H97*I97,2)</f>
        <v>-9.36</v>
      </c>
      <c r="K97" s="15" t="n">
        <f aca="false">ROUND(J97-F97,2)</f>
        <v>0</v>
      </c>
      <c r="L97" s="4" t="str">
        <f aca="false">IF(ABS(K97)&lt;0.005,"OK",IF(ABS(K97)&lt;=0.11,"Rounding / minimum fee","REVIEW"))</f>
        <v>OK</v>
      </c>
    </row>
    <row r="98" customFormat="false" ht="15" hidden="false" customHeight="false" outlineLevel="0" collapsed="false">
      <c r="A98" s="18" t="n">
        <v>95</v>
      </c>
      <c r="B98" s="4" t="s">
        <v>331</v>
      </c>
      <c r="C98" s="4" t="s">
        <v>315</v>
      </c>
      <c r="D98" s="4" t="s">
        <v>461</v>
      </c>
      <c r="E98" s="4" t="s">
        <v>71</v>
      </c>
      <c r="F98" s="15" t="n">
        <v>-7.63</v>
      </c>
      <c r="G98" s="4" t="s">
        <v>368</v>
      </c>
      <c r="H98" s="30" t="n">
        <v>76318.01</v>
      </c>
      <c r="I98" s="31" t="n">
        <v>0.0001</v>
      </c>
      <c r="J98" s="15" t="n">
        <f aca="false">-ROUND(H98*I98,2)</f>
        <v>-7.63</v>
      </c>
      <c r="K98" s="15" t="n">
        <f aca="false">ROUND(J98-F98,2)</f>
        <v>0</v>
      </c>
      <c r="L98" s="4" t="str">
        <f aca="false">IF(ABS(K98)&lt;0.005,"OK",IF(ABS(K98)&lt;=0.11,"Rounding / minimum fee","REVIEW"))</f>
        <v>OK</v>
      </c>
    </row>
    <row r="99" customFormat="false" ht="15" hidden="false" customHeight="false" outlineLevel="0" collapsed="false">
      <c r="A99" s="18" t="n">
        <v>96</v>
      </c>
      <c r="B99" s="4" t="s">
        <v>331</v>
      </c>
      <c r="C99" s="4" t="s">
        <v>315</v>
      </c>
      <c r="D99" s="4" t="s">
        <v>462</v>
      </c>
      <c r="E99" s="4" t="s">
        <v>71</v>
      </c>
      <c r="F99" s="15" t="n">
        <v>-8.38</v>
      </c>
      <c r="G99" s="4" t="s">
        <v>368</v>
      </c>
      <c r="H99" s="30" t="n">
        <v>83808.24</v>
      </c>
      <c r="I99" s="31" t="n">
        <v>0.0001</v>
      </c>
      <c r="J99" s="15" t="n">
        <f aca="false">-ROUND(H99*I99,2)</f>
        <v>-8.38</v>
      </c>
      <c r="K99" s="15" t="n">
        <f aca="false">ROUND(J99-F99,2)</f>
        <v>0</v>
      </c>
      <c r="L99" s="4" t="str">
        <f aca="false">IF(ABS(K99)&lt;0.005,"OK",IF(ABS(K99)&lt;=0.11,"Rounding / minimum fee","REVIEW"))</f>
        <v>OK</v>
      </c>
    </row>
    <row r="100" customFormat="false" ht="15" hidden="false" customHeight="false" outlineLevel="0" collapsed="false">
      <c r="A100" s="18" t="n">
        <v>97</v>
      </c>
      <c r="B100" s="4" t="s">
        <v>332</v>
      </c>
      <c r="C100" s="4" t="s">
        <v>319</v>
      </c>
      <c r="D100" s="4" t="s">
        <v>463</v>
      </c>
      <c r="E100" s="4" t="s">
        <v>322</v>
      </c>
      <c r="F100" s="15" t="n">
        <v>-588.32</v>
      </c>
    </row>
    <row r="101" customFormat="false" ht="15" hidden="false" customHeight="false" outlineLevel="0" collapsed="false">
      <c r="A101" s="18" t="n">
        <v>98</v>
      </c>
      <c r="B101" s="4" t="s">
        <v>332</v>
      </c>
      <c r="C101" s="4" t="s">
        <v>319</v>
      </c>
      <c r="D101" s="4" t="s">
        <v>464</v>
      </c>
      <c r="E101" s="4" t="s">
        <v>322</v>
      </c>
      <c r="F101" s="15" t="n">
        <v>-1340.12</v>
      </c>
    </row>
    <row r="102" customFormat="false" ht="15" hidden="false" customHeight="false" outlineLevel="0" collapsed="false">
      <c r="A102" s="18" t="n">
        <v>99</v>
      </c>
      <c r="B102" s="4" t="s">
        <v>332</v>
      </c>
      <c r="C102" s="4" t="s">
        <v>319</v>
      </c>
      <c r="D102" s="4" t="s">
        <v>465</v>
      </c>
      <c r="E102" s="4" t="s">
        <v>322</v>
      </c>
      <c r="F102" s="15" t="n">
        <v>-0.16</v>
      </c>
    </row>
    <row r="103" customFormat="false" ht="15" hidden="false" customHeight="false" outlineLevel="0" collapsed="false">
      <c r="A103" s="18" t="n">
        <v>100</v>
      </c>
      <c r="B103" s="4" t="s">
        <v>332</v>
      </c>
      <c r="C103" s="4" t="s">
        <v>319</v>
      </c>
      <c r="D103" s="4" t="s">
        <v>466</v>
      </c>
      <c r="E103" s="4" t="s">
        <v>322</v>
      </c>
      <c r="F103" s="15" t="n">
        <v>-0.03</v>
      </c>
    </row>
    <row r="104" customFormat="false" ht="15" hidden="false" customHeight="false" outlineLevel="0" collapsed="false">
      <c r="A104" s="18" t="n">
        <v>101</v>
      </c>
      <c r="B104" s="4" t="s">
        <v>332</v>
      </c>
      <c r="C104" s="4" t="s">
        <v>319</v>
      </c>
      <c r="D104" s="4" t="s">
        <v>467</v>
      </c>
      <c r="E104" s="4" t="s">
        <v>322</v>
      </c>
      <c r="F104" s="15" t="n">
        <v>-0.1</v>
      </c>
    </row>
    <row r="105" customFormat="false" ht="15" hidden="false" customHeight="false" outlineLevel="0" collapsed="false">
      <c r="A105" s="18" t="n">
        <v>102</v>
      </c>
      <c r="B105" s="4" t="s">
        <v>332</v>
      </c>
      <c r="C105" s="4" t="s">
        <v>319</v>
      </c>
      <c r="D105" s="4" t="s">
        <v>468</v>
      </c>
      <c r="E105" s="4" t="s">
        <v>322</v>
      </c>
      <c r="F105" s="15" t="n">
        <v>-0.11</v>
      </c>
    </row>
    <row r="106" customFormat="false" ht="15" hidden="false" customHeight="false" outlineLevel="0" collapsed="false">
      <c r="A106" s="18" t="n">
        <v>103</v>
      </c>
      <c r="B106" s="4" t="s">
        <v>332</v>
      </c>
      <c r="C106" s="4" t="s">
        <v>319</v>
      </c>
      <c r="D106" s="4" t="s">
        <v>469</v>
      </c>
      <c r="E106" s="4" t="s">
        <v>322</v>
      </c>
      <c r="F106" s="15" t="n">
        <v>-70.68</v>
      </c>
    </row>
    <row r="107" customFormat="false" ht="15" hidden="false" customHeight="false" outlineLevel="0" collapsed="false">
      <c r="A107" s="18" t="n">
        <v>104</v>
      </c>
      <c r="B107" s="4" t="s">
        <v>332</v>
      </c>
      <c r="C107" s="4" t="s">
        <v>319</v>
      </c>
      <c r="D107" s="4" t="s">
        <v>470</v>
      </c>
      <c r="E107" s="4" t="s">
        <v>322</v>
      </c>
      <c r="F107" s="15" t="n">
        <v>-0.4</v>
      </c>
    </row>
    <row r="108" customFormat="false" ht="15" hidden="false" customHeight="false" outlineLevel="0" collapsed="false">
      <c r="A108" s="18" t="n">
        <v>105</v>
      </c>
      <c r="B108" s="4" t="s">
        <v>332</v>
      </c>
      <c r="C108" s="4" t="s">
        <v>319</v>
      </c>
      <c r="D108" s="4" t="s">
        <v>471</v>
      </c>
      <c r="E108" s="4" t="s">
        <v>322</v>
      </c>
      <c r="F108" s="15" t="n">
        <v>-373.77</v>
      </c>
    </row>
    <row r="109" customFormat="false" ht="15" hidden="false" customHeight="false" outlineLevel="0" collapsed="false">
      <c r="A109" s="18" t="n">
        <v>106</v>
      </c>
      <c r="B109" s="4" t="s">
        <v>332</v>
      </c>
      <c r="C109" s="4" t="s">
        <v>319</v>
      </c>
      <c r="D109" s="4" t="s">
        <v>472</v>
      </c>
      <c r="E109" s="4" t="s">
        <v>322</v>
      </c>
      <c r="F109" s="15" t="n">
        <v>-57.87</v>
      </c>
    </row>
    <row r="110" customFormat="false" ht="15" hidden="false" customHeight="false" outlineLevel="0" collapsed="false">
      <c r="A110" s="18" t="n">
        <v>107</v>
      </c>
      <c r="B110" s="4" t="s">
        <v>332</v>
      </c>
      <c r="C110" s="4" t="s">
        <v>319</v>
      </c>
      <c r="D110" s="4" t="s">
        <v>473</v>
      </c>
      <c r="E110" s="4" t="s">
        <v>322</v>
      </c>
      <c r="F110" s="15" t="n">
        <v>-5.01</v>
      </c>
    </row>
    <row r="111" customFormat="false" ht="15" hidden="false" customHeight="false" outlineLevel="0" collapsed="false">
      <c r="A111" s="18" t="n">
        <v>108</v>
      </c>
      <c r="B111" s="4" t="s">
        <v>332</v>
      </c>
      <c r="C111" s="4" t="s">
        <v>319</v>
      </c>
      <c r="D111" s="4" t="s">
        <v>474</v>
      </c>
      <c r="E111" s="4" t="s">
        <v>322</v>
      </c>
      <c r="F111" s="15" t="n">
        <v>-0.5</v>
      </c>
    </row>
    <row r="112" customFormat="false" ht="15" hidden="false" customHeight="false" outlineLevel="0" collapsed="false">
      <c r="A112" s="18" t="n">
        <v>109</v>
      </c>
      <c r="B112" s="4" t="s">
        <v>332</v>
      </c>
      <c r="C112" s="4" t="s">
        <v>319</v>
      </c>
      <c r="D112" s="4" t="s">
        <v>475</v>
      </c>
      <c r="E112" s="4" t="s">
        <v>322</v>
      </c>
      <c r="F112" s="15" t="n">
        <v>-0.7</v>
      </c>
    </row>
    <row r="113" customFormat="false" ht="15" hidden="false" customHeight="false" outlineLevel="0" collapsed="false">
      <c r="A113" s="18" t="n">
        <v>110</v>
      </c>
      <c r="B113" s="4" t="s">
        <v>332</v>
      </c>
      <c r="C113" s="4" t="s">
        <v>319</v>
      </c>
      <c r="D113" s="4" t="s">
        <v>476</v>
      </c>
      <c r="E113" s="4" t="s">
        <v>322</v>
      </c>
      <c r="F113" s="15" t="n">
        <v>-138.05</v>
      </c>
    </row>
    <row r="114" customFormat="false" ht="15" hidden="false" customHeight="false" outlineLevel="0" collapsed="false">
      <c r="A114" s="18" t="n">
        <v>111</v>
      </c>
      <c r="B114" s="4" t="s">
        <v>332</v>
      </c>
      <c r="C114" s="4" t="s">
        <v>319</v>
      </c>
      <c r="D114" s="4" t="s">
        <v>477</v>
      </c>
      <c r="E114" s="4" t="s">
        <v>322</v>
      </c>
      <c r="F114" s="15" t="n">
        <v>-1028.72</v>
      </c>
    </row>
    <row r="115" customFormat="false" ht="15" hidden="false" customHeight="false" outlineLevel="0" collapsed="false">
      <c r="A115" s="18" t="n">
        <v>112</v>
      </c>
      <c r="B115" s="4" t="s">
        <v>332</v>
      </c>
      <c r="C115" s="4" t="s">
        <v>319</v>
      </c>
      <c r="D115" s="4" t="s">
        <v>478</v>
      </c>
      <c r="E115" s="4" t="s">
        <v>322</v>
      </c>
      <c r="F115" s="15" t="n">
        <v>-0.2</v>
      </c>
    </row>
    <row r="116" customFormat="false" ht="15" hidden="false" customHeight="false" outlineLevel="0" collapsed="false">
      <c r="A116" s="18" t="n">
        <v>113</v>
      </c>
      <c r="B116" s="4" t="s">
        <v>332</v>
      </c>
      <c r="C116" s="4" t="s">
        <v>319</v>
      </c>
      <c r="D116" s="4" t="s">
        <v>479</v>
      </c>
      <c r="E116" s="4" t="s">
        <v>322</v>
      </c>
      <c r="F116" s="15" t="n">
        <v>-85.43</v>
      </c>
    </row>
    <row r="117" customFormat="false" ht="15" hidden="false" customHeight="false" outlineLevel="0" collapsed="false">
      <c r="A117" s="18" t="n">
        <v>114</v>
      </c>
      <c r="B117" s="4" t="s">
        <v>332</v>
      </c>
      <c r="C117" s="4" t="s">
        <v>319</v>
      </c>
      <c r="D117" s="4" t="s">
        <v>480</v>
      </c>
      <c r="E117" s="4" t="s">
        <v>322</v>
      </c>
      <c r="F117" s="15" t="n">
        <v>-29.64</v>
      </c>
    </row>
    <row r="118" customFormat="false" ht="15" hidden="false" customHeight="false" outlineLevel="0" collapsed="false">
      <c r="A118" s="18" t="n">
        <v>115</v>
      </c>
      <c r="B118" s="4" t="s">
        <v>332</v>
      </c>
      <c r="C118" s="4" t="s">
        <v>319</v>
      </c>
      <c r="D118" s="4" t="s">
        <v>481</v>
      </c>
      <c r="E118" s="4" t="s">
        <v>322</v>
      </c>
      <c r="F118" s="15" t="n">
        <v>-14.76</v>
      </c>
    </row>
    <row r="119" customFormat="false" ht="15" hidden="false" customHeight="false" outlineLevel="0" collapsed="false">
      <c r="A119" s="18" t="n">
        <v>116</v>
      </c>
      <c r="B119" s="4" t="s">
        <v>332</v>
      </c>
      <c r="C119" s="4" t="s">
        <v>319</v>
      </c>
      <c r="D119" s="4" t="s">
        <v>482</v>
      </c>
      <c r="E119" s="4" t="s">
        <v>322</v>
      </c>
      <c r="F119" s="15" t="n">
        <v>-128.66</v>
      </c>
    </row>
    <row r="120" customFormat="false" ht="15" hidden="false" customHeight="false" outlineLevel="0" collapsed="false">
      <c r="A120" s="18" t="n">
        <v>117</v>
      </c>
      <c r="B120" s="4" t="s">
        <v>333</v>
      </c>
      <c r="C120" s="4" t="s">
        <v>319</v>
      </c>
      <c r="D120" s="4" t="s">
        <v>483</v>
      </c>
      <c r="E120" s="4" t="s">
        <v>323</v>
      </c>
      <c r="F120" s="15" t="n">
        <v>-4.9</v>
      </c>
      <c r="G120" s="4" t="s">
        <v>376</v>
      </c>
      <c r="H120" s="30" t="n">
        <v>49</v>
      </c>
      <c r="I120" s="31" t="n">
        <v>0.1</v>
      </c>
      <c r="J120" s="15" t="n">
        <f aca="false">-ROUND(H120*I120,2)</f>
        <v>-4.9</v>
      </c>
      <c r="K120" s="15" t="n">
        <f aca="false">ROUND(J120-F120,2)</f>
        <v>0</v>
      </c>
      <c r="L120" s="4" t="str">
        <f aca="false">IF(ABS(K120)&lt;0.005,"OK",IF(ABS(K120)&lt;=0.11,"Rounding / minimum fee","REVIEW"))</f>
        <v>OK</v>
      </c>
    </row>
    <row r="121" customFormat="false" ht="15" hidden="false" customHeight="false" outlineLevel="0" collapsed="false">
      <c r="A121" s="18" t="n">
        <v>118</v>
      </c>
      <c r="B121" s="4" t="s">
        <v>334</v>
      </c>
      <c r="C121" s="4" t="s">
        <v>326</v>
      </c>
      <c r="D121" s="4" t="s">
        <v>484</v>
      </c>
      <c r="E121" s="4" t="s">
        <v>71</v>
      </c>
      <c r="F121" s="15" t="n">
        <v>-30.26</v>
      </c>
    </row>
    <row r="122" customFormat="false" ht="15" hidden="false" customHeight="false" outlineLevel="0" collapsed="false">
      <c r="A122" s="18" t="n">
        <v>119</v>
      </c>
      <c r="B122" s="4" t="s">
        <v>334</v>
      </c>
      <c r="C122" s="4" t="s">
        <v>326</v>
      </c>
      <c r="D122" s="4" t="s">
        <v>485</v>
      </c>
      <c r="E122" s="4" t="s">
        <v>323</v>
      </c>
      <c r="F122" s="15" t="n">
        <v>-803.85</v>
      </c>
    </row>
    <row r="123" customFormat="false" ht="15" hidden="false" customHeight="false" outlineLevel="0" collapsed="false">
      <c r="A123" s="18" t="n">
        <v>120</v>
      </c>
      <c r="B123" s="4" t="s">
        <v>334</v>
      </c>
      <c r="C123" s="4" t="s">
        <v>326</v>
      </c>
      <c r="D123" s="4" t="s">
        <v>486</v>
      </c>
      <c r="E123" s="4" t="s">
        <v>323</v>
      </c>
      <c r="F123" s="15" t="n">
        <v>-7.03</v>
      </c>
      <c r="G123" s="4" t="s">
        <v>368</v>
      </c>
      <c r="H123" s="30" t="n">
        <v>70311.3</v>
      </c>
      <c r="I123" s="31" t="n">
        <v>0.0001</v>
      </c>
      <c r="J123" s="15" t="n">
        <f aca="false">-ROUND(H123*I123,2)</f>
        <v>-7.03</v>
      </c>
      <c r="K123" s="15" t="n">
        <f aca="false">ROUND(J123-F123,2)</f>
        <v>0</v>
      </c>
      <c r="L123" s="4" t="str">
        <f aca="false">IF(ABS(K123)&lt;0.005,"OK",IF(ABS(K123)&lt;=0.11,"Rounding / minimum fee","REVIEW"))</f>
        <v>OK</v>
      </c>
    </row>
    <row r="124" customFormat="false" ht="15" hidden="false" customHeight="false" outlineLevel="0" collapsed="false">
      <c r="A124" s="18" t="n">
        <v>121</v>
      </c>
      <c r="B124" s="4" t="s">
        <v>334</v>
      </c>
      <c r="C124" s="4" t="s">
        <v>326</v>
      </c>
      <c r="D124" s="4" t="s">
        <v>487</v>
      </c>
      <c r="E124" s="4" t="s">
        <v>323</v>
      </c>
      <c r="F124" s="15" t="n">
        <v>-13.4</v>
      </c>
      <c r="G124" s="4" t="s">
        <v>376</v>
      </c>
      <c r="H124" s="30" t="n">
        <v>5340</v>
      </c>
      <c r="I124" s="31" t="n">
        <v>0.0025</v>
      </c>
      <c r="J124" s="15" t="n">
        <f aca="false">-ROUND(H124*I124,2)</f>
        <v>-13.35</v>
      </c>
      <c r="K124" s="15" t="n">
        <f aca="false">ROUND(J124-F124,2)</f>
        <v>0.05</v>
      </c>
      <c r="L124" s="4" t="str">
        <f aca="false">IF(ABS(K124)&lt;0.005,"OK",IF(ABS(K124)&lt;=0.11,"Rounding / minimum fee","REVIEW"))</f>
        <v>Rounding / minimum fee</v>
      </c>
    </row>
    <row r="125" customFormat="false" ht="15" hidden="false" customHeight="false" outlineLevel="0" collapsed="false">
      <c r="A125" s="18" t="n">
        <v>122</v>
      </c>
      <c r="B125" s="4" t="s">
        <v>334</v>
      </c>
      <c r="C125" s="4" t="s">
        <v>326</v>
      </c>
      <c r="D125" s="4" t="s">
        <v>488</v>
      </c>
      <c r="E125" s="4" t="s">
        <v>71</v>
      </c>
      <c r="F125" s="15" t="n">
        <v>-541.3</v>
      </c>
      <c r="G125" s="4" t="s">
        <v>376</v>
      </c>
      <c r="H125" s="30" t="n">
        <v>10826</v>
      </c>
      <c r="I125" s="31" t="n">
        <v>0.05</v>
      </c>
      <c r="J125" s="15" t="n">
        <f aca="false">-ROUND(H125*I125,2)</f>
        <v>-541.3</v>
      </c>
      <c r="K125" s="15" t="n">
        <f aca="false">ROUND(J125-F125,2)</f>
        <v>0</v>
      </c>
      <c r="L125" s="4" t="str">
        <f aca="false">IF(ABS(K125)&lt;0.005,"OK",IF(ABS(K125)&lt;=0.11,"Rounding / minimum fee","REVIEW"))</f>
        <v>OK</v>
      </c>
    </row>
    <row r="126" customFormat="false" ht="15" hidden="false" customHeight="false" outlineLevel="0" collapsed="false">
      <c r="A126" s="18" t="n">
        <v>123</v>
      </c>
      <c r="B126" s="4" t="s">
        <v>334</v>
      </c>
      <c r="C126" s="4" t="s">
        <v>326</v>
      </c>
      <c r="D126" s="4" t="s">
        <v>489</v>
      </c>
      <c r="E126" s="4" t="s">
        <v>71</v>
      </c>
      <c r="F126" s="15" t="n">
        <v>-122.9</v>
      </c>
      <c r="G126" s="4" t="s">
        <v>368</v>
      </c>
      <c r="H126" s="30" t="n">
        <v>491630.15</v>
      </c>
      <c r="I126" s="31" t="n">
        <v>0.00025</v>
      </c>
      <c r="J126" s="15" t="n">
        <f aca="false">-ROUND(H126*I126,2)</f>
        <v>-122.91</v>
      </c>
      <c r="K126" s="15" t="n">
        <f aca="false">ROUND(J126-F126,2)</f>
        <v>-0.01</v>
      </c>
      <c r="L126" s="4" t="str">
        <f aca="false">IF(ABS(K126)&lt;0.005,"OK",IF(ABS(K126)&lt;=0.11,"Rounding / minimum fee","REVIEW"))</f>
        <v>Rounding / minimum fee</v>
      </c>
    </row>
    <row r="127" customFormat="false" ht="15" hidden="false" customHeight="false" outlineLevel="0" collapsed="false">
      <c r="A127" s="18" t="n">
        <v>124</v>
      </c>
      <c r="B127" s="4" t="s">
        <v>334</v>
      </c>
      <c r="C127" s="4" t="s">
        <v>326</v>
      </c>
      <c r="D127" s="4" t="s">
        <v>490</v>
      </c>
      <c r="E127" s="4" t="s">
        <v>323</v>
      </c>
      <c r="F127" s="15" t="n">
        <v>-5.91</v>
      </c>
      <c r="G127" s="4" t="s">
        <v>491</v>
      </c>
      <c r="H127" s="30" t="n">
        <v>2581</v>
      </c>
      <c r="I127" s="31" t="n">
        <v>0.002294</v>
      </c>
      <c r="J127" s="15" t="n">
        <f aca="false">-ROUND(H127*I127,2)</f>
        <v>-5.92</v>
      </c>
      <c r="K127" s="15" t="n">
        <f aca="false">ROUND(J127-F127,2)</f>
        <v>-0.01</v>
      </c>
      <c r="L127" s="4" t="str">
        <f aca="false">IF(ABS(K127)&lt;0.005,"OK",IF(ABS(K127)&lt;=0.11,"Rounding / minimum fee","REVIEW"))</f>
        <v>Rounding / minimum fee</v>
      </c>
    </row>
    <row r="128" customFormat="false" ht="15" hidden="false" customHeight="false" outlineLevel="0" collapsed="false">
      <c r="A128" s="18" t="n">
        <v>125</v>
      </c>
      <c r="B128" s="4" t="s">
        <v>334</v>
      </c>
      <c r="C128" s="4" t="s">
        <v>326</v>
      </c>
      <c r="D128" s="4" t="s">
        <v>492</v>
      </c>
      <c r="E128" s="4" t="s">
        <v>323</v>
      </c>
      <c r="F128" s="15" t="n">
        <v>-2.6</v>
      </c>
      <c r="G128" s="4" t="s">
        <v>376</v>
      </c>
      <c r="H128" s="30" t="n">
        <v>132</v>
      </c>
      <c r="I128" s="31" t="n">
        <v>0.0195</v>
      </c>
      <c r="J128" s="15" t="n">
        <f aca="false">-ROUND(H128*I128,2)</f>
        <v>-2.57</v>
      </c>
      <c r="K128" s="15" t="n">
        <f aca="false">ROUND(J128-F128,2)</f>
        <v>0.03</v>
      </c>
      <c r="L128" s="4" t="str">
        <f aca="false">IF(ABS(K128)&lt;0.005,"OK",IF(ABS(K128)&lt;=0.11,"Rounding / minimum fee","REVIEW"))</f>
        <v>Rounding / minimum fee</v>
      </c>
    </row>
    <row r="129" customFormat="false" ht="15" hidden="false" customHeight="false" outlineLevel="0" collapsed="false">
      <c r="A129" s="18" t="n">
        <v>126</v>
      </c>
      <c r="B129" s="4" t="s">
        <v>334</v>
      </c>
      <c r="C129" s="4" t="s">
        <v>326</v>
      </c>
      <c r="D129" s="4" t="s">
        <v>493</v>
      </c>
      <c r="E129" s="4" t="s">
        <v>71</v>
      </c>
      <c r="F129" s="15" t="n">
        <v>-80.3</v>
      </c>
      <c r="G129" s="4" t="s">
        <v>376</v>
      </c>
      <c r="H129" s="30" t="n">
        <v>803</v>
      </c>
      <c r="I129" s="31" t="n">
        <v>0.1</v>
      </c>
      <c r="J129" s="15" t="n">
        <f aca="false">-ROUND(H129*I129,2)</f>
        <v>-80.3</v>
      </c>
      <c r="K129" s="15" t="n">
        <f aca="false">ROUND(J129-F129,2)</f>
        <v>0</v>
      </c>
      <c r="L129" s="4" t="str">
        <f aca="false">IF(ABS(K129)&lt;0.005,"OK",IF(ABS(K129)&lt;=0.11,"Rounding / minimum fee","REVIEW"))</f>
        <v>OK</v>
      </c>
    </row>
    <row r="130" customFormat="false" ht="15" hidden="false" customHeight="false" outlineLevel="0" collapsed="false">
      <c r="A130" s="18" t="n">
        <v>127</v>
      </c>
      <c r="B130" s="4" t="s">
        <v>334</v>
      </c>
      <c r="C130" s="4" t="s">
        <v>326</v>
      </c>
      <c r="D130" s="4" t="s">
        <v>494</v>
      </c>
      <c r="E130" s="4" t="s">
        <v>323</v>
      </c>
      <c r="F130" s="15" t="n">
        <v>-2.23</v>
      </c>
      <c r="G130" s="4" t="s">
        <v>376</v>
      </c>
      <c r="H130" s="30" t="n">
        <v>143</v>
      </c>
      <c r="I130" s="31" t="n">
        <v>0.0155</v>
      </c>
      <c r="J130" s="15" t="n">
        <f aca="false">-ROUND(H130*I130,2)</f>
        <v>-2.22</v>
      </c>
      <c r="K130" s="15" t="n">
        <f aca="false">ROUND(J130-F130,2)</f>
        <v>0.01</v>
      </c>
      <c r="L130" s="4" t="str">
        <f aca="false">IF(ABS(K130)&lt;0.005,"OK",IF(ABS(K130)&lt;=0.11,"Rounding / minimum fee","REVIEW"))</f>
        <v>Rounding / minimum fee</v>
      </c>
    </row>
    <row r="131" customFormat="false" ht="15" hidden="false" customHeight="false" outlineLevel="0" collapsed="false">
      <c r="A131" s="18" t="n">
        <v>128</v>
      </c>
      <c r="B131" s="4" t="s">
        <v>334</v>
      </c>
      <c r="C131" s="4" t="s">
        <v>326</v>
      </c>
      <c r="D131" s="4" t="s">
        <v>495</v>
      </c>
      <c r="E131" s="4" t="s">
        <v>322</v>
      </c>
      <c r="F131" s="15" t="n">
        <v>-3.72</v>
      </c>
      <c r="G131" s="4" t="s">
        <v>376</v>
      </c>
      <c r="H131" s="30" t="n">
        <v>190</v>
      </c>
      <c r="I131" s="31" t="n">
        <v>0.0195</v>
      </c>
      <c r="J131" s="15" t="n">
        <f aca="false">-ROUND(H131*I131,2)</f>
        <v>-3.71</v>
      </c>
      <c r="K131" s="15" t="n">
        <f aca="false">ROUND(J131-F131,2)</f>
        <v>0.01</v>
      </c>
      <c r="L131" s="4" t="str">
        <f aca="false">IF(ABS(K131)&lt;0.005,"OK",IF(ABS(K131)&lt;=0.11,"Rounding / minimum fee","REVIEW"))</f>
        <v>Rounding / minimum fee</v>
      </c>
      <c r="M131" s="4" t="s">
        <v>496</v>
      </c>
    </row>
    <row r="132" customFormat="false" ht="15" hidden="false" customHeight="false" outlineLevel="0" collapsed="false">
      <c r="A132" s="18" t="n">
        <v>129</v>
      </c>
      <c r="B132" s="4" t="s">
        <v>334</v>
      </c>
      <c r="C132" s="4" t="s">
        <v>316</v>
      </c>
      <c r="D132" s="4" t="s">
        <v>497</v>
      </c>
      <c r="E132" s="4" t="s">
        <v>323</v>
      </c>
      <c r="F132" s="15" t="n">
        <v>-122.58</v>
      </c>
      <c r="G132" s="4" t="s">
        <v>368</v>
      </c>
      <c r="H132" s="30" t="n">
        <v>2664297.23</v>
      </c>
      <c r="I132" s="31" t="n">
        <v>4.6E-005</v>
      </c>
      <c r="J132" s="15" t="n">
        <f aca="false">-ROUND(H132*I132,2)</f>
        <v>-122.56</v>
      </c>
      <c r="K132" s="15" t="n">
        <f aca="false">ROUND(J132-F132,2)</f>
        <v>0.02</v>
      </c>
      <c r="L132" s="4" t="str">
        <f aca="false">IF(ABS(K132)&lt;0.005,"OK",IF(ABS(K132)&lt;=0.11,"Rounding / minimum fee","REVIEW"))</f>
        <v>Rounding / minimum fee</v>
      </c>
    </row>
    <row r="133" customFormat="false" ht="15" hidden="false" customHeight="false" outlineLevel="0" collapsed="false">
      <c r="A133" s="18" t="n">
        <v>130</v>
      </c>
      <c r="B133" s="4" t="s">
        <v>334</v>
      </c>
      <c r="C133" s="4" t="s">
        <v>316</v>
      </c>
      <c r="D133" s="4" t="s">
        <v>498</v>
      </c>
      <c r="E133" s="4" t="s">
        <v>71</v>
      </c>
      <c r="F133" s="15" t="n">
        <v>-18.6</v>
      </c>
      <c r="G133" s="4" t="s">
        <v>376</v>
      </c>
      <c r="H133" s="30" t="n">
        <v>1860</v>
      </c>
      <c r="I133" s="31" t="n">
        <v>0.01</v>
      </c>
      <c r="J133" s="15" t="n">
        <f aca="false">-ROUND(H133*I133,2)</f>
        <v>-18.6</v>
      </c>
      <c r="K133" s="15" t="n">
        <f aca="false">ROUND(J133-F133,2)</f>
        <v>0</v>
      </c>
      <c r="L133" s="4" t="str">
        <f aca="false">IF(ABS(K133)&lt;0.005,"OK",IF(ABS(K133)&lt;=0.11,"Rounding / minimum fee","REVIEW"))</f>
        <v>OK</v>
      </c>
    </row>
    <row r="134" customFormat="false" ht="15" hidden="false" customHeight="false" outlineLevel="0" collapsed="false">
      <c r="A134" s="18" t="n">
        <v>131</v>
      </c>
      <c r="B134" s="4" t="s">
        <v>334</v>
      </c>
      <c r="C134" s="4" t="s">
        <v>316</v>
      </c>
      <c r="D134" s="4" t="s">
        <v>499</v>
      </c>
      <c r="E134" s="4" t="s">
        <v>71</v>
      </c>
      <c r="F134" s="15" t="n">
        <v>-10.92</v>
      </c>
      <c r="G134" s="4" t="s">
        <v>376</v>
      </c>
      <c r="H134" s="30" t="n">
        <v>434</v>
      </c>
      <c r="I134" s="31" t="n">
        <v>0.025</v>
      </c>
      <c r="J134" s="15" t="n">
        <f aca="false">-ROUND(H134*I134,2)</f>
        <v>-10.85</v>
      </c>
      <c r="K134" s="15" t="n">
        <f aca="false">ROUND(J134-F134,2)</f>
        <v>0.07</v>
      </c>
      <c r="L134" s="4" t="str">
        <f aca="false">IF(ABS(K134)&lt;0.005,"OK",IF(ABS(K134)&lt;=0.11,"Rounding / minimum fee","REVIEW"))</f>
        <v>Rounding / minimum fee</v>
      </c>
    </row>
    <row r="135" customFormat="false" ht="15" hidden="false" customHeight="false" outlineLevel="0" collapsed="false">
      <c r="A135" s="18" t="n">
        <v>132</v>
      </c>
      <c r="B135" s="4" t="s">
        <v>334</v>
      </c>
      <c r="C135" s="4" t="s">
        <v>316</v>
      </c>
      <c r="D135" s="4" t="s">
        <v>500</v>
      </c>
      <c r="E135" s="4" t="s">
        <v>71</v>
      </c>
      <c r="F135" s="15" t="n">
        <v>-65.26</v>
      </c>
      <c r="G135" s="4" t="s">
        <v>376</v>
      </c>
      <c r="H135" s="30" t="n">
        <v>3347</v>
      </c>
      <c r="I135" s="31" t="n">
        <v>0.0195</v>
      </c>
      <c r="J135" s="15" t="n">
        <f aca="false">-ROUND(H135*I135,2)</f>
        <v>-65.27</v>
      </c>
      <c r="K135" s="15" t="n">
        <f aca="false">ROUND(J135-F135,2)</f>
        <v>-0.01</v>
      </c>
      <c r="L135" s="4" t="str">
        <f aca="false">IF(ABS(K135)&lt;0.005,"OK",IF(ABS(K135)&lt;=0.11,"Rounding / minimum fee","REVIEW"))</f>
        <v>Rounding / minimum fee</v>
      </c>
    </row>
    <row r="136" customFormat="false" ht="15" hidden="false" customHeight="false" outlineLevel="0" collapsed="false">
      <c r="A136" s="18" t="n">
        <v>133</v>
      </c>
      <c r="B136" s="4" t="s">
        <v>334</v>
      </c>
      <c r="C136" s="4" t="s">
        <v>316</v>
      </c>
      <c r="D136" s="4" t="s">
        <v>501</v>
      </c>
      <c r="E136" s="4" t="s">
        <v>71</v>
      </c>
      <c r="F136" s="15" t="n">
        <v>-0.14</v>
      </c>
      <c r="G136" s="4" t="s">
        <v>376</v>
      </c>
      <c r="H136" s="30" t="n">
        <v>7</v>
      </c>
      <c r="I136" s="31" t="n">
        <v>0.02</v>
      </c>
      <c r="J136" s="15" t="n">
        <f aca="false">-ROUND(H136*I136,2)</f>
        <v>-0.14</v>
      </c>
      <c r="K136" s="15" t="n">
        <f aca="false">ROUND(J136-F136,2)</f>
        <v>0</v>
      </c>
      <c r="L136" s="4" t="str">
        <f aca="false">IF(ABS(K136)&lt;0.005,"OK",IF(ABS(K136)&lt;=0.11,"Rounding / minimum fee","REVIEW"))</f>
        <v>OK</v>
      </c>
    </row>
    <row r="137" customFormat="false" ht="15" hidden="false" customHeight="false" outlineLevel="0" collapsed="false">
      <c r="A137" s="18" t="n">
        <v>134</v>
      </c>
      <c r="B137" s="4" t="s">
        <v>334</v>
      </c>
      <c r="C137" s="4" t="s">
        <v>316</v>
      </c>
      <c r="D137" s="4" t="s">
        <v>502</v>
      </c>
      <c r="E137" s="4" t="s">
        <v>322</v>
      </c>
      <c r="F137" s="15" t="n">
        <v>-166.51</v>
      </c>
      <c r="M137" s="4" t="s">
        <v>496</v>
      </c>
    </row>
    <row r="138" customFormat="false" ht="15" hidden="false" customHeight="false" outlineLevel="0" collapsed="false">
      <c r="A138" s="18" t="n">
        <v>135</v>
      </c>
      <c r="B138" s="4" t="s">
        <v>334</v>
      </c>
      <c r="C138" s="4" t="s">
        <v>316</v>
      </c>
      <c r="D138" s="4" t="s">
        <v>503</v>
      </c>
      <c r="E138" s="4" t="s">
        <v>323</v>
      </c>
      <c r="F138" s="15" t="n">
        <v>-3077.31</v>
      </c>
      <c r="G138" s="4" t="s">
        <v>368</v>
      </c>
      <c r="H138" s="30" t="n">
        <v>2051547.43</v>
      </c>
      <c r="I138" s="31" t="n">
        <v>0.0015</v>
      </c>
      <c r="J138" s="15" t="n">
        <f aca="false">-ROUND(H138*I138,2)</f>
        <v>-3077.32</v>
      </c>
      <c r="K138" s="15" t="n">
        <f aca="false">ROUND(J138-F138,2)</f>
        <v>-0.01</v>
      </c>
      <c r="L138" s="4" t="str">
        <f aca="false">IF(ABS(K138)&lt;0.005,"OK",IF(ABS(K138)&lt;=0.11,"Rounding / minimum fee","REVIEW"))</f>
        <v>Rounding / minimum fee</v>
      </c>
    </row>
    <row r="139" customFormat="false" ht="15" hidden="false" customHeight="false" outlineLevel="0" collapsed="false">
      <c r="A139" s="18" t="n">
        <v>136</v>
      </c>
      <c r="B139" s="4" t="s">
        <v>334</v>
      </c>
      <c r="C139" s="4" t="s">
        <v>316</v>
      </c>
      <c r="D139" s="4" t="s">
        <v>504</v>
      </c>
      <c r="E139" s="4" t="s">
        <v>71</v>
      </c>
      <c r="F139" s="15" t="n">
        <v>-0.09</v>
      </c>
      <c r="G139" s="4" t="s">
        <v>376</v>
      </c>
      <c r="H139" s="30" t="n">
        <v>1</v>
      </c>
      <c r="I139" s="31" t="n">
        <v>0.0295</v>
      </c>
      <c r="J139" s="15" t="n">
        <f aca="false">-ROUND(H139*I139,2)</f>
        <v>-0.03</v>
      </c>
      <c r="K139" s="15" t="n">
        <f aca="false">ROUND(J139-F139,2)</f>
        <v>0.06</v>
      </c>
      <c r="L139" s="4" t="str">
        <f aca="false">IF(ABS(K139)&lt;0.005,"OK",IF(ABS(K139)&lt;=0.11,"Rounding / minimum fee","REVIEW"))</f>
        <v>Rounding / minimum fee</v>
      </c>
    </row>
    <row r="140" customFormat="false" ht="15" hidden="false" customHeight="false" outlineLevel="0" collapsed="false">
      <c r="A140" s="18" t="n">
        <v>137</v>
      </c>
      <c r="B140" s="4" t="s">
        <v>334</v>
      </c>
      <c r="C140" s="4" t="s">
        <v>316</v>
      </c>
      <c r="D140" s="4" t="s">
        <v>505</v>
      </c>
      <c r="E140" s="4" t="s">
        <v>71</v>
      </c>
      <c r="F140" s="15" t="n">
        <v>-355.9</v>
      </c>
      <c r="G140" s="4" t="s">
        <v>376</v>
      </c>
      <c r="H140" s="30" t="n">
        <v>3559</v>
      </c>
      <c r="I140" s="31" t="n">
        <v>0.1</v>
      </c>
      <c r="J140" s="15" t="n">
        <f aca="false">-ROUND(H140*I140,2)</f>
        <v>-355.9</v>
      </c>
      <c r="K140" s="15" t="n">
        <f aca="false">ROUND(J140-F140,2)</f>
        <v>0</v>
      </c>
      <c r="L140" s="4" t="str">
        <f aca="false">IF(ABS(K140)&lt;0.005,"OK",IF(ABS(K140)&lt;=0.11,"Rounding / minimum fee","REVIEW"))</f>
        <v>OK</v>
      </c>
    </row>
    <row r="141" customFormat="false" ht="15" hidden="false" customHeight="false" outlineLevel="0" collapsed="false">
      <c r="A141" s="18" t="n">
        <v>138</v>
      </c>
      <c r="B141" s="4" t="s">
        <v>334</v>
      </c>
      <c r="C141" s="4" t="s">
        <v>316</v>
      </c>
      <c r="D141" s="4" t="s">
        <v>506</v>
      </c>
      <c r="E141" s="4" t="s">
        <v>71</v>
      </c>
      <c r="F141" s="15" t="n">
        <v>-151</v>
      </c>
      <c r="G141" s="4" t="s">
        <v>376</v>
      </c>
      <c r="H141" s="30" t="n">
        <v>302</v>
      </c>
      <c r="I141" s="31" t="n">
        <v>0.5</v>
      </c>
      <c r="J141" s="15" t="n">
        <f aca="false">-ROUND(H141*I141,2)</f>
        <v>-151</v>
      </c>
      <c r="K141" s="15" t="n">
        <f aca="false">ROUND(J141-F141,2)</f>
        <v>0</v>
      </c>
      <c r="L141" s="4" t="str">
        <f aca="false">IF(ABS(K141)&lt;0.005,"OK",IF(ABS(K141)&lt;=0.11,"Rounding / minimum fee","REVIEW"))</f>
        <v>OK</v>
      </c>
    </row>
    <row r="142" customFormat="false" ht="15" hidden="false" customHeight="false" outlineLevel="0" collapsed="false">
      <c r="A142" s="18" t="n">
        <v>139</v>
      </c>
      <c r="B142" s="4" t="s">
        <v>334</v>
      </c>
      <c r="C142" s="4" t="s">
        <v>316</v>
      </c>
      <c r="D142" s="4" t="s">
        <v>507</v>
      </c>
      <c r="E142" s="4" t="s">
        <v>71</v>
      </c>
      <c r="F142" s="15" t="n">
        <v>-3.5</v>
      </c>
      <c r="G142" s="4" t="s">
        <v>376</v>
      </c>
      <c r="H142" s="30" t="n">
        <v>7</v>
      </c>
      <c r="I142" s="31" t="n">
        <v>0.5</v>
      </c>
      <c r="J142" s="15" t="n">
        <f aca="false">-ROUND(H142*I142,2)</f>
        <v>-3.5</v>
      </c>
      <c r="K142" s="15" t="n">
        <f aca="false">ROUND(J142-F142,2)</f>
        <v>0</v>
      </c>
      <c r="L142" s="4" t="str">
        <f aca="false">IF(ABS(K142)&lt;0.005,"OK",IF(ABS(K142)&lt;=0.11,"Rounding / minimum fee","REVIEW"))</f>
        <v>OK</v>
      </c>
    </row>
    <row r="143" customFormat="false" ht="15" hidden="false" customHeight="false" outlineLevel="0" collapsed="false">
      <c r="A143" s="18" t="n">
        <v>140</v>
      </c>
      <c r="B143" s="4" t="s">
        <v>334</v>
      </c>
      <c r="C143" s="4" t="s">
        <v>316</v>
      </c>
      <c r="D143" s="4" t="s">
        <v>508</v>
      </c>
      <c r="E143" s="4" t="s">
        <v>323</v>
      </c>
      <c r="F143" s="15" t="n">
        <v>-6.83</v>
      </c>
      <c r="G143" s="4" t="s">
        <v>491</v>
      </c>
      <c r="H143" s="30" t="n">
        <v>2983</v>
      </c>
      <c r="I143" s="31" t="n">
        <v>0.002294</v>
      </c>
      <c r="J143" s="15" t="n">
        <f aca="false">-ROUND(H143*I143,2)</f>
        <v>-6.84</v>
      </c>
      <c r="K143" s="15" t="n">
        <f aca="false">ROUND(J143-F143,2)</f>
        <v>-0.01</v>
      </c>
      <c r="L143" s="4" t="str">
        <f aca="false">IF(ABS(K143)&lt;0.005,"OK",IF(ABS(K143)&lt;=0.11,"Rounding / minimum fee","REVIEW"))</f>
        <v>Rounding / minimum fee</v>
      </c>
    </row>
    <row r="144" customFormat="false" ht="15" hidden="false" customHeight="false" outlineLevel="0" collapsed="false">
      <c r="A144" s="18" t="n">
        <v>141</v>
      </c>
      <c r="B144" s="4" t="s">
        <v>334</v>
      </c>
      <c r="C144" s="4" t="s">
        <v>316</v>
      </c>
      <c r="D144" s="4" t="s">
        <v>509</v>
      </c>
      <c r="E144" s="4" t="s">
        <v>71</v>
      </c>
      <c r="F144" s="15" t="n">
        <v>-0.02</v>
      </c>
      <c r="G144" s="4" t="s">
        <v>376</v>
      </c>
      <c r="H144" s="30" t="n">
        <v>1</v>
      </c>
      <c r="I144" s="31" t="n">
        <v>0.02</v>
      </c>
      <c r="J144" s="15" t="n">
        <f aca="false">-ROUND(H144*I144,2)</f>
        <v>-0.02</v>
      </c>
      <c r="K144" s="15" t="n">
        <f aca="false">ROUND(J144-F144,2)</f>
        <v>0</v>
      </c>
      <c r="L144" s="4" t="str">
        <f aca="false">IF(ABS(K144)&lt;0.005,"OK",IF(ABS(K144)&lt;=0.11,"Rounding / minimum fee","REVIEW"))</f>
        <v>OK</v>
      </c>
    </row>
    <row r="145" customFormat="false" ht="15" hidden="false" customHeight="false" outlineLevel="0" collapsed="false">
      <c r="A145" s="18" t="n">
        <v>142</v>
      </c>
      <c r="B145" s="4" t="s">
        <v>334</v>
      </c>
      <c r="C145" s="4" t="s">
        <v>316</v>
      </c>
      <c r="D145" s="4" t="s">
        <v>510</v>
      </c>
      <c r="E145" s="4" t="s">
        <v>322</v>
      </c>
      <c r="F145" s="15" t="n">
        <v>-3730.01</v>
      </c>
      <c r="G145" s="4" t="s">
        <v>368</v>
      </c>
      <c r="H145" s="30" t="n">
        <v>2664297.23</v>
      </c>
      <c r="I145" s="31" t="n">
        <v>0.0014</v>
      </c>
      <c r="J145" s="15" t="n">
        <f aca="false">-ROUND(H145*I145,2)</f>
        <v>-3730.02</v>
      </c>
      <c r="K145" s="15" t="n">
        <f aca="false">ROUND(J145-F145,2)</f>
        <v>-0.01</v>
      </c>
      <c r="L145" s="4" t="str">
        <f aca="false">IF(ABS(K145)&lt;0.005,"OK",IF(ABS(K145)&lt;=0.11,"Rounding / minimum fee","REVIEW"))</f>
        <v>Rounding / minimum fee</v>
      </c>
      <c r="M145" s="4" t="s">
        <v>496</v>
      </c>
    </row>
    <row r="146" customFormat="false" ht="15" hidden="false" customHeight="false" outlineLevel="0" collapsed="false">
      <c r="A146" s="18" t="n">
        <v>143</v>
      </c>
      <c r="B146" s="4" t="s">
        <v>334</v>
      </c>
      <c r="C146" s="4" t="s">
        <v>316</v>
      </c>
      <c r="D146" s="4" t="s">
        <v>511</v>
      </c>
      <c r="E146" s="4" t="s">
        <v>323</v>
      </c>
      <c r="F146" s="15" t="n">
        <v>-919.11</v>
      </c>
      <c r="G146" s="4" t="s">
        <v>368</v>
      </c>
      <c r="H146" s="30" t="n">
        <v>612749.8</v>
      </c>
      <c r="I146" s="31" t="n">
        <v>0.0015</v>
      </c>
      <c r="J146" s="15" t="n">
        <f aca="false">-ROUND(H146*I146,2)</f>
        <v>-919.12</v>
      </c>
      <c r="K146" s="15" t="n">
        <f aca="false">ROUND(J146-F146,2)</f>
        <v>-0.01</v>
      </c>
      <c r="L146" s="4" t="str">
        <f aca="false">IF(ABS(K146)&lt;0.005,"OK",IF(ABS(K146)&lt;=0.11,"Rounding / minimum fee","REVIEW"))</f>
        <v>Rounding / minimum fee</v>
      </c>
    </row>
    <row r="147" customFormat="false" ht="15" hidden="false" customHeight="false" outlineLevel="0" collapsed="false">
      <c r="A147" s="18" t="n">
        <v>144</v>
      </c>
      <c r="B147" s="4" t="s">
        <v>334</v>
      </c>
      <c r="C147" s="4" t="s">
        <v>316</v>
      </c>
      <c r="D147" s="4" t="s">
        <v>512</v>
      </c>
      <c r="E147" s="4" t="s">
        <v>71</v>
      </c>
      <c r="F147" s="15" t="n">
        <v>-14.9</v>
      </c>
      <c r="G147" s="4" t="s">
        <v>376</v>
      </c>
      <c r="H147" s="30" t="n">
        <v>1490</v>
      </c>
      <c r="I147" s="31" t="n">
        <v>0.01</v>
      </c>
      <c r="J147" s="15" t="n">
        <f aca="false">-ROUND(H147*I147,2)</f>
        <v>-14.9</v>
      </c>
      <c r="K147" s="15" t="n">
        <f aca="false">ROUND(J147-F147,2)</f>
        <v>0</v>
      </c>
      <c r="L147" s="4" t="str">
        <f aca="false">IF(ABS(K147)&lt;0.005,"OK",IF(ABS(K147)&lt;=0.11,"Rounding / minimum fee","REVIEW"))</f>
        <v>OK</v>
      </c>
    </row>
    <row r="148" customFormat="false" ht="15" hidden="false" customHeight="false" outlineLevel="0" collapsed="false">
      <c r="A148" s="18" t="n">
        <v>145</v>
      </c>
      <c r="B148" s="4" t="s">
        <v>334</v>
      </c>
      <c r="C148" s="4" t="s">
        <v>316</v>
      </c>
      <c r="D148" s="4" t="s">
        <v>513</v>
      </c>
      <c r="E148" s="4" t="s">
        <v>322</v>
      </c>
      <c r="F148" s="15" t="n">
        <v>-0.1</v>
      </c>
    </row>
    <row r="149" customFormat="false" ht="15" hidden="false" customHeight="false" outlineLevel="0" collapsed="false">
      <c r="A149" s="18" t="n">
        <v>146</v>
      </c>
      <c r="B149" s="4" t="s">
        <v>334</v>
      </c>
      <c r="C149" s="4" t="s">
        <v>316</v>
      </c>
      <c r="D149" s="4" t="s">
        <v>514</v>
      </c>
      <c r="E149" s="4" t="s">
        <v>322</v>
      </c>
      <c r="F149" s="15" t="n">
        <v>-40.37</v>
      </c>
    </row>
    <row r="150" customFormat="false" ht="15" hidden="false" customHeight="false" outlineLevel="0" collapsed="false">
      <c r="A150" s="18" t="n">
        <v>147</v>
      </c>
      <c r="B150" s="4" t="s">
        <v>334</v>
      </c>
      <c r="C150" s="4" t="s">
        <v>316</v>
      </c>
      <c r="D150" s="4" t="s">
        <v>515</v>
      </c>
      <c r="E150" s="4" t="s">
        <v>322</v>
      </c>
      <c r="F150" s="15" t="n">
        <v>-3134.14</v>
      </c>
    </row>
    <row r="151" customFormat="false" ht="15" hidden="false" customHeight="false" outlineLevel="0" collapsed="false">
      <c r="A151" s="18" t="n">
        <v>148</v>
      </c>
      <c r="B151" s="4" t="s">
        <v>334</v>
      </c>
      <c r="C151" s="4" t="s">
        <v>316</v>
      </c>
      <c r="D151" s="4" t="s">
        <v>516</v>
      </c>
      <c r="E151" s="4" t="s">
        <v>322</v>
      </c>
      <c r="F151" s="15" t="n">
        <v>-518.75</v>
      </c>
    </row>
    <row r="152" customFormat="false" ht="15" hidden="false" customHeight="false" outlineLevel="0" collapsed="false">
      <c r="A152" s="18" t="n">
        <v>149</v>
      </c>
      <c r="B152" s="4" t="s">
        <v>334</v>
      </c>
      <c r="C152" s="4" t="s">
        <v>316</v>
      </c>
      <c r="D152" s="4" t="s">
        <v>517</v>
      </c>
      <c r="E152" s="4" t="s">
        <v>322</v>
      </c>
      <c r="F152" s="15" t="n">
        <v>-5425.67</v>
      </c>
    </row>
    <row r="153" customFormat="false" ht="15" hidden="false" customHeight="false" outlineLevel="0" collapsed="false">
      <c r="A153" s="18" t="n">
        <v>150</v>
      </c>
      <c r="B153" s="4" t="s">
        <v>334</v>
      </c>
      <c r="C153" s="4" t="s">
        <v>316</v>
      </c>
      <c r="D153" s="4" t="s">
        <v>518</v>
      </c>
      <c r="E153" s="4" t="s">
        <v>322</v>
      </c>
      <c r="F153" s="15" t="n">
        <v>-993.8</v>
      </c>
    </row>
    <row r="154" customFormat="false" ht="15" hidden="false" customHeight="false" outlineLevel="0" collapsed="false">
      <c r="A154" s="18" t="n">
        <v>151</v>
      </c>
      <c r="B154" s="4" t="s">
        <v>334</v>
      </c>
      <c r="C154" s="4" t="s">
        <v>316</v>
      </c>
      <c r="D154" s="4" t="s">
        <v>519</v>
      </c>
      <c r="E154" s="4" t="s">
        <v>322</v>
      </c>
      <c r="F154" s="15" t="n">
        <v>-7097.09</v>
      </c>
    </row>
    <row r="155" customFormat="false" ht="15" hidden="false" customHeight="false" outlineLevel="0" collapsed="false">
      <c r="A155" s="18" t="n">
        <v>152</v>
      </c>
      <c r="B155" s="4" t="s">
        <v>334</v>
      </c>
      <c r="C155" s="4" t="s">
        <v>316</v>
      </c>
      <c r="D155" s="4" t="s">
        <v>520</v>
      </c>
      <c r="E155" s="4" t="s">
        <v>322</v>
      </c>
      <c r="F155" s="15" t="n">
        <v>-777.91</v>
      </c>
    </row>
    <row r="156" customFormat="false" ht="15" hidden="false" customHeight="false" outlineLevel="0" collapsed="false">
      <c r="A156" s="18" t="n">
        <v>153</v>
      </c>
      <c r="B156" s="4" t="s">
        <v>334</v>
      </c>
      <c r="C156" s="4" t="s">
        <v>316</v>
      </c>
      <c r="D156" s="4" t="s">
        <v>521</v>
      </c>
      <c r="E156" s="4" t="s">
        <v>322</v>
      </c>
      <c r="F156" s="15" t="n">
        <v>-0.11</v>
      </c>
    </row>
    <row r="157" customFormat="false" ht="15" hidden="false" customHeight="false" outlineLevel="0" collapsed="false">
      <c r="A157" s="18" t="n">
        <v>154</v>
      </c>
      <c r="B157" s="4" t="s">
        <v>334</v>
      </c>
      <c r="C157" s="4" t="s">
        <v>316</v>
      </c>
      <c r="D157" s="4" t="s">
        <v>522</v>
      </c>
      <c r="E157" s="4" t="s">
        <v>322</v>
      </c>
      <c r="F157" s="15" t="n">
        <v>-3928.98</v>
      </c>
    </row>
    <row r="158" customFormat="false" ht="15" hidden="false" customHeight="false" outlineLevel="0" collapsed="false">
      <c r="A158" s="18" t="n">
        <v>155</v>
      </c>
      <c r="B158" s="4" t="s">
        <v>334</v>
      </c>
      <c r="C158" s="4" t="s">
        <v>316</v>
      </c>
      <c r="D158" s="4" t="s">
        <v>523</v>
      </c>
      <c r="E158" s="4" t="s">
        <v>322</v>
      </c>
      <c r="F158" s="15" t="n">
        <v>-219.63</v>
      </c>
    </row>
    <row r="159" customFormat="false" ht="15" hidden="false" customHeight="false" outlineLevel="0" collapsed="false">
      <c r="A159" s="18" t="n">
        <v>156</v>
      </c>
      <c r="B159" s="4" t="s">
        <v>334</v>
      </c>
      <c r="C159" s="4" t="s">
        <v>316</v>
      </c>
      <c r="D159" s="4" t="s">
        <v>524</v>
      </c>
      <c r="E159" s="4" t="s">
        <v>322</v>
      </c>
      <c r="F159" s="15" t="n">
        <v>-2.2</v>
      </c>
    </row>
    <row r="160" customFormat="false" ht="15" hidden="false" customHeight="false" outlineLevel="0" collapsed="false">
      <c r="A160" s="18" t="n">
        <v>157</v>
      </c>
      <c r="B160" s="4" t="s">
        <v>334</v>
      </c>
      <c r="C160" s="4" t="s">
        <v>316</v>
      </c>
      <c r="D160" s="4" t="s">
        <v>525</v>
      </c>
      <c r="E160" s="4" t="s">
        <v>322</v>
      </c>
      <c r="F160" s="15" t="n">
        <v>-159.19</v>
      </c>
    </row>
    <row r="161" customFormat="false" ht="15" hidden="false" customHeight="false" outlineLevel="0" collapsed="false">
      <c r="A161" s="18" t="n">
        <v>158</v>
      </c>
      <c r="B161" s="4" t="s">
        <v>334</v>
      </c>
      <c r="C161" s="4" t="s">
        <v>316</v>
      </c>
      <c r="D161" s="4" t="s">
        <v>526</v>
      </c>
      <c r="E161" s="4" t="s">
        <v>322</v>
      </c>
      <c r="F161" s="15" t="n">
        <v>-1787.29</v>
      </c>
    </row>
    <row r="162" customFormat="false" ht="15" hidden="false" customHeight="false" outlineLevel="0" collapsed="false">
      <c r="A162" s="18" t="n">
        <v>159</v>
      </c>
      <c r="B162" s="4" t="s">
        <v>334</v>
      </c>
      <c r="C162" s="4" t="s">
        <v>316</v>
      </c>
      <c r="D162" s="4" t="s">
        <v>527</v>
      </c>
      <c r="E162" s="4" t="s">
        <v>322</v>
      </c>
      <c r="F162" s="15" t="n">
        <v>-24.45</v>
      </c>
    </row>
    <row r="163" customFormat="false" ht="15" hidden="false" customHeight="false" outlineLevel="0" collapsed="false">
      <c r="A163" s="18" t="n">
        <v>160</v>
      </c>
      <c r="B163" s="4" t="s">
        <v>334</v>
      </c>
      <c r="C163" s="4" t="s">
        <v>316</v>
      </c>
      <c r="D163" s="4" t="s">
        <v>528</v>
      </c>
      <c r="E163" s="4" t="s">
        <v>322</v>
      </c>
      <c r="F163" s="15" t="n">
        <v>-320.41</v>
      </c>
    </row>
    <row r="164" customFormat="false" ht="15" hidden="false" customHeight="false" outlineLevel="0" collapsed="false">
      <c r="A164" s="18" t="n">
        <v>161</v>
      </c>
      <c r="B164" s="4" t="s">
        <v>334</v>
      </c>
      <c r="C164" s="4" t="s">
        <v>316</v>
      </c>
      <c r="D164" s="4" t="s">
        <v>529</v>
      </c>
      <c r="E164" s="4" t="s">
        <v>322</v>
      </c>
      <c r="F164" s="15" t="n">
        <v>-0.08</v>
      </c>
    </row>
    <row r="165" customFormat="false" ht="15" hidden="false" customHeight="false" outlineLevel="0" collapsed="false">
      <c r="A165" s="18" t="n">
        <v>162</v>
      </c>
      <c r="B165" s="4" t="s">
        <v>334</v>
      </c>
      <c r="C165" s="4" t="s">
        <v>316</v>
      </c>
      <c r="D165" s="4" t="s">
        <v>530</v>
      </c>
      <c r="E165" s="4" t="s">
        <v>322</v>
      </c>
      <c r="F165" s="15" t="n">
        <v>-944.05</v>
      </c>
    </row>
    <row r="166" customFormat="false" ht="15" hidden="false" customHeight="false" outlineLevel="0" collapsed="false">
      <c r="A166" s="18" t="n">
        <v>163</v>
      </c>
      <c r="B166" s="4" t="s">
        <v>334</v>
      </c>
      <c r="C166" s="4" t="s">
        <v>316</v>
      </c>
      <c r="D166" s="4" t="s">
        <v>531</v>
      </c>
      <c r="E166" s="4" t="s">
        <v>322</v>
      </c>
      <c r="F166" s="15" t="n">
        <v>-258.31</v>
      </c>
    </row>
    <row r="167" customFormat="false" ht="15" hidden="false" customHeight="false" outlineLevel="0" collapsed="false">
      <c r="A167" s="18" t="n">
        <v>164</v>
      </c>
      <c r="B167" s="4" t="s">
        <v>334</v>
      </c>
      <c r="C167" s="4" t="s">
        <v>316</v>
      </c>
      <c r="D167" s="4" t="s">
        <v>532</v>
      </c>
      <c r="E167" s="4" t="s">
        <v>322</v>
      </c>
      <c r="F167" s="15" t="n">
        <v>-64.29</v>
      </c>
    </row>
    <row r="168" customFormat="false" ht="15" hidden="false" customHeight="false" outlineLevel="0" collapsed="false">
      <c r="A168" s="18" t="n">
        <v>165</v>
      </c>
      <c r="B168" s="4" t="s">
        <v>334</v>
      </c>
      <c r="C168" s="4" t="s">
        <v>316</v>
      </c>
      <c r="D168" s="4" t="s">
        <v>533</v>
      </c>
      <c r="E168" s="4" t="s">
        <v>322</v>
      </c>
      <c r="F168" s="15" t="n">
        <v>-2.28</v>
      </c>
    </row>
    <row r="169" customFormat="false" ht="15" hidden="false" customHeight="false" outlineLevel="0" collapsed="false">
      <c r="A169" s="18" t="n">
        <v>166</v>
      </c>
      <c r="B169" s="4" t="s">
        <v>334</v>
      </c>
      <c r="C169" s="4" t="s">
        <v>316</v>
      </c>
      <c r="D169" s="4" t="s">
        <v>534</v>
      </c>
      <c r="E169" s="4" t="s">
        <v>322</v>
      </c>
      <c r="F169" s="15" t="n">
        <v>-7124.97</v>
      </c>
    </row>
    <row r="170" customFormat="false" ht="15" hidden="false" customHeight="false" outlineLevel="0" collapsed="false">
      <c r="A170" s="18" t="n">
        <v>167</v>
      </c>
      <c r="B170" s="4" t="s">
        <v>334</v>
      </c>
      <c r="C170" s="4" t="s">
        <v>316</v>
      </c>
      <c r="D170" s="4" t="s">
        <v>535</v>
      </c>
      <c r="E170" s="4" t="s">
        <v>322</v>
      </c>
      <c r="F170" s="15" t="n">
        <v>-360.62</v>
      </c>
    </row>
    <row r="171" customFormat="false" ht="15" hidden="false" customHeight="false" outlineLevel="0" collapsed="false">
      <c r="A171" s="18" t="n">
        <v>168</v>
      </c>
      <c r="B171" s="4" t="s">
        <v>334</v>
      </c>
      <c r="C171" s="4" t="s">
        <v>316</v>
      </c>
      <c r="D171" s="4" t="s">
        <v>536</v>
      </c>
      <c r="E171" s="4" t="s">
        <v>322</v>
      </c>
      <c r="F171" s="15" t="n">
        <v>-2812.33</v>
      </c>
    </row>
    <row r="172" customFormat="false" ht="15" hidden="false" customHeight="false" outlineLevel="0" collapsed="false">
      <c r="A172" s="18" t="n">
        <v>169</v>
      </c>
      <c r="B172" s="4" t="s">
        <v>334</v>
      </c>
      <c r="C172" s="4" t="s">
        <v>316</v>
      </c>
      <c r="D172" s="4" t="s">
        <v>537</v>
      </c>
      <c r="E172" s="4" t="s">
        <v>322</v>
      </c>
      <c r="F172" s="15" t="n">
        <v>-70.2</v>
      </c>
    </row>
    <row r="173" customFormat="false" ht="15" hidden="false" customHeight="false" outlineLevel="0" collapsed="false">
      <c r="A173" s="18" t="n">
        <v>170</v>
      </c>
      <c r="B173" s="4" t="s">
        <v>334</v>
      </c>
      <c r="C173" s="4" t="s">
        <v>316</v>
      </c>
      <c r="D173" s="4" t="s">
        <v>538</v>
      </c>
      <c r="E173" s="4" t="s">
        <v>322</v>
      </c>
      <c r="F173" s="15" t="n">
        <v>-850.91</v>
      </c>
    </row>
    <row r="174" customFormat="false" ht="15" hidden="false" customHeight="false" outlineLevel="0" collapsed="false">
      <c r="A174" s="18" t="n">
        <v>171</v>
      </c>
      <c r="B174" s="4" t="s">
        <v>334</v>
      </c>
      <c r="C174" s="4" t="s">
        <v>316</v>
      </c>
      <c r="D174" s="4" t="s">
        <v>539</v>
      </c>
      <c r="E174" s="4" t="s">
        <v>322</v>
      </c>
      <c r="F174" s="15" t="n">
        <v>-1231.37</v>
      </c>
    </row>
    <row r="175" customFormat="false" ht="15" hidden="false" customHeight="false" outlineLevel="0" collapsed="false">
      <c r="A175" s="18" t="n">
        <v>172</v>
      </c>
      <c r="B175" s="4" t="s">
        <v>334</v>
      </c>
      <c r="C175" s="4" t="s">
        <v>316</v>
      </c>
      <c r="D175" s="4" t="s">
        <v>540</v>
      </c>
      <c r="E175" s="4" t="s">
        <v>322</v>
      </c>
      <c r="F175" s="15" t="n">
        <v>-17.33</v>
      </c>
    </row>
    <row r="176" customFormat="false" ht="15" hidden="false" customHeight="false" outlineLevel="0" collapsed="false">
      <c r="A176" s="18" t="n">
        <v>173</v>
      </c>
      <c r="B176" s="4" t="s">
        <v>334</v>
      </c>
      <c r="C176" s="4" t="s">
        <v>316</v>
      </c>
      <c r="D176" s="4" t="s">
        <v>541</v>
      </c>
      <c r="E176" s="4" t="s">
        <v>322</v>
      </c>
      <c r="F176" s="15" t="n">
        <v>-0.09</v>
      </c>
    </row>
    <row r="177" customFormat="false" ht="15" hidden="false" customHeight="false" outlineLevel="0" collapsed="false">
      <c r="A177" s="18" t="n">
        <v>174</v>
      </c>
      <c r="B177" s="4" t="s">
        <v>334</v>
      </c>
      <c r="C177" s="4" t="s">
        <v>316</v>
      </c>
      <c r="D177" s="4" t="s">
        <v>542</v>
      </c>
      <c r="E177" s="4" t="s">
        <v>322</v>
      </c>
      <c r="F177" s="15" t="n">
        <v>-425.96</v>
      </c>
    </row>
    <row r="178" customFormat="false" ht="15" hidden="false" customHeight="false" outlineLevel="0" collapsed="false">
      <c r="A178" s="18" t="n">
        <v>175</v>
      </c>
      <c r="B178" s="4" t="s">
        <v>334</v>
      </c>
      <c r="C178" s="4" t="s">
        <v>316</v>
      </c>
      <c r="D178" s="4" t="s">
        <v>543</v>
      </c>
      <c r="E178" s="4" t="s">
        <v>322</v>
      </c>
      <c r="F178" s="15" t="n">
        <v>-10069.01</v>
      </c>
    </row>
    <row r="179" customFormat="false" ht="15" hidden="false" customHeight="false" outlineLevel="0" collapsed="false">
      <c r="A179" s="18" t="n">
        <v>176</v>
      </c>
      <c r="B179" s="4" t="s">
        <v>334</v>
      </c>
      <c r="C179" s="4" t="s">
        <v>316</v>
      </c>
      <c r="D179" s="4" t="s">
        <v>544</v>
      </c>
      <c r="E179" s="4" t="s">
        <v>322</v>
      </c>
      <c r="F179" s="15" t="n">
        <v>-701.28</v>
      </c>
    </row>
    <row r="180" customFormat="false" ht="15" hidden="false" customHeight="false" outlineLevel="0" collapsed="false">
      <c r="A180" s="18" t="n">
        <v>177</v>
      </c>
      <c r="B180" s="4" t="s">
        <v>334</v>
      </c>
      <c r="C180" s="4" t="s">
        <v>316</v>
      </c>
      <c r="D180" s="4" t="s">
        <v>545</v>
      </c>
      <c r="E180" s="4" t="s">
        <v>322</v>
      </c>
      <c r="F180" s="15" t="n">
        <v>-810.63</v>
      </c>
    </row>
    <row r="181" customFormat="false" ht="15" hidden="false" customHeight="false" outlineLevel="0" collapsed="false">
      <c r="A181" s="18" t="n">
        <v>178</v>
      </c>
      <c r="B181" s="4" t="s">
        <v>334</v>
      </c>
      <c r="C181" s="4" t="s">
        <v>316</v>
      </c>
      <c r="D181" s="4" t="s">
        <v>546</v>
      </c>
      <c r="E181" s="4" t="s">
        <v>322</v>
      </c>
      <c r="F181" s="15" t="n">
        <v>-0.46</v>
      </c>
    </row>
    <row r="182" customFormat="false" ht="15" hidden="false" customHeight="false" outlineLevel="0" collapsed="false">
      <c r="A182" s="18" t="n">
        <v>179</v>
      </c>
      <c r="B182" s="4" t="s">
        <v>334</v>
      </c>
      <c r="C182" s="4" t="s">
        <v>316</v>
      </c>
      <c r="D182" s="4" t="s">
        <v>547</v>
      </c>
      <c r="E182" s="4" t="s">
        <v>322</v>
      </c>
      <c r="F182" s="15" t="n">
        <v>-1210.13</v>
      </c>
    </row>
    <row r="183" customFormat="false" ht="15" hidden="false" customHeight="false" outlineLevel="0" collapsed="false">
      <c r="A183" s="18" t="n">
        <v>180</v>
      </c>
      <c r="B183" s="4" t="s">
        <v>334</v>
      </c>
      <c r="C183" s="4" t="s">
        <v>316</v>
      </c>
      <c r="D183" s="4" t="s">
        <v>548</v>
      </c>
      <c r="E183" s="4" t="s">
        <v>322</v>
      </c>
      <c r="F183" s="15" t="n">
        <v>-4780.63</v>
      </c>
    </row>
    <row r="184" customFormat="false" ht="15" hidden="false" customHeight="false" outlineLevel="0" collapsed="false">
      <c r="A184" s="18" t="n">
        <v>181</v>
      </c>
      <c r="B184" s="4" t="s">
        <v>334</v>
      </c>
      <c r="C184" s="4" t="s">
        <v>316</v>
      </c>
      <c r="D184" s="4" t="s">
        <v>549</v>
      </c>
      <c r="E184" s="4" t="s">
        <v>322</v>
      </c>
      <c r="F184" s="15" t="n">
        <v>-183.58</v>
      </c>
    </row>
    <row r="185" customFormat="false" ht="15" hidden="false" customHeight="false" outlineLevel="0" collapsed="false">
      <c r="A185" s="18" t="n">
        <v>182</v>
      </c>
      <c r="B185" s="4" t="s">
        <v>334</v>
      </c>
      <c r="C185" s="4" t="s">
        <v>316</v>
      </c>
      <c r="D185" s="4" t="s">
        <v>550</v>
      </c>
      <c r="E185" s="4" t="s">
        <v>322</v>
      </c>
      <c r="F185" s="15" t="n">
        <v>-979.6</v>
      </c>
    </row>
    <row r="186" customFormat="false" ht="15" hidden="false" customHeight="false" outlineLevel="0" collapsed="false">
      <c r="A186" s="18" t="n">
        <v>183</v>
      </c>
      <c r="B186" s="4" t="s">
        <v>334</v>
      </c>
      <c r="C186" s="4" t="s">
        <v>316</v>
      </c>
      <c r="D186" s="4" t="s">
        <v>551</v>
      </c>
      <c r="E186" s="4" t="s">
        <v>322</v>
      </c>
      <c r="F186" s="15" t="n">
        <v>-41.13</v>
      </c>
    </row>
    <row r="187" customFormat="false" ht="15" hidden="false" customHeight="false" outlineLevel="0" collapsed="false">
      <c r="A187" s="18" t="n">
        <v>184</v>
      </c>
      <c r="B187" s="4" t="s">
        <v>334</v>
      </c>
      <c r="C187" s="4" t="s">
        <v>316</v>
      </c>
      <c r="D187" s="4" t="s">
        <v>552</v>
      </c>
      <c r="E187" s="4" t="s">
        <v>322</v>
      </c>
      <c r="F187" s="15" t="n">
        <v>-129.93</v>
      </c>
    </row>
    <row r="188" customFormat="false" ht="15" hidden="false" customHeight="false" outlineLevel="0" collapsed="false">
      <c r="A188" s="18" t="n">
        <v>185</v>
      </c>
      <c r="B188" s="4" t="s">
        <v>334</v>
      </c>
      <c r="C188" s="4" t="s">
        <v>315</v>
      </c>
      <c r="D188" s="4" t="s">
        <v>553</v>
      </c>
      <c r="E188" s="4" t="s">
        <v>71</v>
      </c>
      <c r="F188" s="15" t="n">
        <v>-0.7</v>
      </c>
      <c r="G188" s="4" t="s">
        <v>368</v>
      </c>
      <c r="H188" s="30" t="n">
        <v>6979.27</v>
      </c>
      <c r="I188" s="31" t="n">
        <v>0.0001</v>
      </c>
      <c r="J188" s="15" t="n">
        <f aca="false">-ROUND(H188*I188,2)</f>
        <v>-0.7</v>
      </c>
      <c r="K188" s="15" t="n">
        <f aca="false">ROUND(J188-F188,2)</f>
        <v>0</v>
      </c>
      <c r="L188" s="4" t="str">
        <f aca="false">IF(ABS(K188)&lt;0.005,"OK",IF(ABS(K188)&lt;=0.11,"Rounding / minimum fee","REVIEW"))</f>
        <v>OK</v>
      </c>
    </row>
    <row r="189" customFormat="false" ht="15" hidden="false" customHeight="false" outlineLevel="0" collapsed="false">
      <c r="A189" s="18" t="n">
        <v>186</v>
      </c>
      <c r="B189" s="4" t="s">
        <v>334</v>
      </c>
      <c r="C189" s="4" t="s">
        <v>315</v>
      </c>
      <c r="D189" s="4" t="s">
        <v>554</v>
      </c>
      <c r="E189" s="4" t="s">
        <v>71</v>
      </c>
      <c r="F189" s="15" t="n">
        <v>-0.1</v>
      </c>
      <c r="G189" s="4" t="s">
        <v>376</v>
      </c>
      <c r="H189" s="30" t="n">
        <v>5</v>
      </c>
      <c r="I189" s="31" t="n">
        <v>0.01</v>
      </c>
      <c r="J189" s="15" t="n">
        <f aca="false">-ROUND(H189*I189,2)</f>
        <v>-0.05</v>
      </c>
      <c r="K189" s="15" t="n">
        <f aca="false">ROUND(J189-F189,2)</f>
        <v>0.05</v>
      </c>
      <c r="L189" s="4" t="str">
        <f aca="false">IF(ABS(K189)&lt;0.005,"OK",IF(ABS(K189)&lt;=0.11,"Rounding / minimum fee","REVIEW"))</f>
        <v>Rounding / minimum fee</v>
      </c>
    </row>
    <row r="190" customFormat="false" ht="15" hidden="false" customHeight="false" outlineLevel="0" collapsed="false">
      <c r="A190" s="18" t="n">
        <v>187</v>
      </c>
      <c r="B190" s="4" t="s">
        <v>334</v>
      </c>
      <c r="C190" s="4" t="s">
        <v>315</v>
      </c>
      <c r="D190" s="4" t="s">
        <v>555</v>
      </c>
      <c r="E190" s="4" t="s">
        <v>323</v>
      </c>
      <c r="F190" s="15" t="n">
        <v>-2739.93</v>
      </c>
      <c r="G190" s="4" t="s">
        <v>368</v>
      </c>
      <c r="H190" s="30" t="n">
        <v>1826627.84</v>
      </c>
      <c r="I190" s="31" t="n">
        <v>0.0015</v>
      </c>
      <c r="J190" s="15" t="n">
        <f aca="false">-ROUND(H190*I190,2)</f>
        <v>-2739.94</v>
      </c>
      <c r="K190" s="15" t="n">
        <f aca="false">ROUND(J190-F190,2)</f>
        <v>-0.01</v>
      </c>
      <c r="L190" s="4" t="str">
        <f aca="false">IF(ABS(K190)&lt;0.005,"OK",IF(ABS(K190)&lt;=0.11,"Rounding / minimum fee","REVIEW"))</f>
        <v>Rounding / minimum fee</v>
      </c>
    </row>
    <row r="191" customFormat="false" ht="15" hidden="false" customHeight="false" outlineLevel="0" collapsed="false">
      <c r="A191" s="18" t="n">
        <v>188</v>
      </c>
      <c r="B191" s="4" t="s">
        <v>334</v>
      </c>
      <c r="C191" s="4" t="s">
        <v>315</v>
      </c>
      <c r="D191" s="4" t="s">
        <v>556</v>
      </c>
      <c r="E191" s="4" t="s">
        <v>71</v>
      </c>
      <c r="F191" s="15" t="n">
        <v>-0.15</v>
      </c>
      <c r="G191" s="4" t="s">
        <v>376</v>
      </c>
      <c r="H191" s="30" t="n">
        <v>15</v>
      </c>
      <c r="I191" s="31" t="n">
        <v>0.01</v>
      </c>
      <c r="J191" s="15" t="n">
        <f aca="false">-ROUND(H191*I191,2)</f>
        <v>-0.15</v>
      </c>
      <c r="K191" s="15" t="n">
        <f aca="false">ROUND(J191-F191,2)</f>
        <v>0</v>
      </c>
      <c r="L191" s="4" t="str">
        <f aca="false">IF(ABS(K191)&lt;0.005,"OK",IF(ABS(K191)&lt;=0.11,"Rounding / minimum fee","REVIEW"))</f>
        <v>OK</v>
      </c>
    </row>
    <row r="192" customFormat="false" ht="15" hidden="false" customHeight="false" outlineLevel="0" collapsed="false">
      <c r="A192" s="18" t="n">
        <v>189</v>
      </c>
      <c r="B192" s="4" t="s">
        <v>334</v>
      </c>
      <c r="C192" s="4" t="s">
        <v>315</v>
      </c>
      <c r="D192" s="4" t="s">
        <v>557</v>
      </c>
      <c r="E192" s="4" t="s">
        <v>71</v>
      </c>
      <c r="F192" s="15" t="n">
        <v>-0.24</v>
      </c>
      <c r="G192" s="4" t="s">
        <v>368</v>
      </c>
      <c r="H192" s="30" t="n">
        <v>2392.35</v>
      </c>
      <c r="I192" s="31" t="n">
        <v>0.0001</v>
      </c>
      <c r="J192" s="15" t="n">
        <f aca="false">-ROUND(H192*I192,2)</f>
        <v>-0.24</v>
      </c>
      <c r="K192" s="15" t="n">
        <f aca="false">ROUND(J192-F192,2)</f>
        <v>0</v>
      </c>
      <c r="L192" s="4" t="str">
        <f aca="false">IF(ABS(K192)&lt;0.005,"OK",IF(ABS(K192)&lt;=0.11,"Rounding / minimum fee","REVIEW"))</f>
        <v>OK</v>
      </c>
    </row>
    <row r="193" customFormat="false" ht="15" hidden="false" customHeight="false" outlineLevel="0" collapsed="false">
      <c r="A193" s="18" t="n">
        <v>190</v>
      </c>
      <c r="B193" s="4" t="s">
        <v>334</v>
      </c>
      <c r="C193" s="4" t="s">
        <v>315</v>
      </c>
      <c r="D193" s="4" t="s">
        <v>558</v>
      </c>
      <c r="E193" s="4" t="s">
        <v>322</v>
      </c>
      <c r="F193" s="15" t="n">
        <v>-3474.85</v>
      </c>
      <c r="G193" s="4" t="s">
        <v>368</v>
      </c>
      <c r="H193" s="30" t="n">
        <v>2482035.5</v>
      </c>
      <c r="I193" s="31" t="n">
        <v>0.0014</v>
      </c>
      <c r="J193" s="15" t="n">
        <f aca="false">-ROUND(H193*I193,2)</f>
        <v>-3474.85</v>
      </c>
      <c r="K193" s="15" t="n">
        <f aca="false">ROUND(J193-F193,2)</f>
        <v>0</v>
      </c>
      <c r="L193" s="4" t="str">
        <f aca="false">IF(ABS(K193)&lt;0.005,"OK",IF(ABS(K193)&lt;=0.11,"Rounding / minimum fee","REVIEW"))</f>
        <v>OK</v>
      </c>
      <c r="M193" s="4" t="s">
        <v>496</v>
      </c>
    </row>
    <row r="194" customFormat="false" ht="15" hidden="false" customHeight="false" outlineLevel="0" collapsed="false">
      <c r="A194" s="18" t="n">
        <v>191</v>
      </c>
      <c r="B194" s="4" t="s">
        <v>334</v>
      </c>
      <c r="C194" s="4" t="s">
        <v>315</v>
      </c>
      <c r="D194" s="4" t="s">
        <v>559</v>
      </c>
      <c r="E194" s="4" t="s">
        <v>71</v>
      </c>
      <c r="F194" s="15" t="n">
        <v>-20.52</v>
      </c>
      <c r="G194" s="4" t="s">
        <v>368</v>
      </c>
      <c r="H194" s="30" t="n">
        <v>136815.29</v>
      </c>
      <c r="I194" s="31" t="n">
        <v>0.00015</v>
      </c>
      <c r="J194" s="15" t="n">
        <f aca="false">-ROUND(H194*I194,2)</f>
        <v>-20.52</v>
      </c>
      <c r="K194" s="15" t="n">
        <f aca="false">ROUND(J194-F194,2)</f>
        <v>0</v>
      </c>
      <c r="L194" s="4" t="str">
        <f aca="false">IF(ABS(K194)&lt;0.005,"OK",IF(ABS(K194)&lt;=0.11,"Rounding / minimum fee","REVIEW"))</f>
        <v>OK</v>
      </c>
    </row>
    <row r="195" customFormat="false" ht="15" hidden="false" customHeight="false" outlineLevel="0" collapsed="false">
      <c r="A195" s="18" t="n">
        <v>192</v>
      </c>
      <c r="B195" s="4" t="s">
        <v>334</v>
      </c>
      <c r="C195" s="4" t="s">
        <v>315</v>
      </c>
      <c r="D195" s="4" t="s">
        <v>560</v>
      </c>
      <c r="E195" s="4" t="s">
        <v>323</v>
      </c>
      <c r="F195" s="15" t="n">
        <v>-3723.04</v>
      </c>
      <c r="G195" s="4" t="s">
        <v>368</v>
      </c>
      <c r="H195" s="30" t="n">
        <v>2482035.5</v>
      </c>
      <c r="I195" s="31" t="n">
        <v>0.0015</v>
      </c>
      <c r="J195" s="15" t="n">
        <f aca="false">-ROUND(H195*I195,2)</f>
        <v>-3723.05</v>
      </c>
      <c r="K195" s="15" t="n">
        <f aca="false">ROUND(J195-F195,2)</f>
        <v>-0.01</v>
      </c>
      <c r="L195" s="4" t="str">
        <f aca="false">IF(ABS(K195)&lt;0.005,"OK",IF(ABS(K195)&lt;=0.11,"Rounding / minimum fee","REVIEW"))</f>
        <v>Rounding / minimum fee</v>
      </c>
    </row>
    <row r="196" customFormat="false" ht="15" hidden="false" customHeight="false" outlineLevel="0" collapsed="false">
      <c r="A196" s="18" t="n">
        <v>193</v>
      </c>
      <c r="B196" s="4" t="s">
        <v>334</v>
      </c>
      <c r="C196" s="4" t="s">
        <v>315</v>
      </c>
      <c r="D196" s="4" t="s">
        <v>561</v>
      </c>
      <c r="E196" s="4" t="s">
        <v>71</v>
      </c>
      <c r="F196" s="15" t="n">
        <v>-0.01</v>
      </c>
      <c r="G196" s="4" t="s">
        <v>368</v>
      </c>
      <c r="H196" s="30" t="n">
        <v>61.34</v>
      </c>
      <c r="I196" s="31" t="n">
        <v>0.0001</v>
      </c>
      <c r="J196" s="15" t="n">
        <f aca="false">-ROUND(H196*I196,2)</f>
        <v>-0.01</v>
      </c>
      <c r="K196" s="15" t="n">
        <f aca="false">ROUND(J196-F196,2)</f>
        <v>0</v>
      </c>
      <c r="L196" s="4" t="str">
        <f aca="false">IF(ABS(K196)&lt;0.005,"OK",IF(ABS(K196)&lt;=0.11,"Rounding / minimum fee","REVIEW"))</f>
        <v>OK</v>
      </c>
    </row>
    <row r="197" customFormat="false" ht="15" hidden="false" customHeight="false" outlineLevel="0" collapsed="false">
      <c r="A197" s="18" t="n">
        <v>194</v>
      </c>
      <c r="B197" s="4" t="s">
        <v>334</v>
      </c>
      <c r="C197" s="4" t="s">
        <v>315</v>
      </c>
      <c r="D197" s="4" t="s">
        <v>562</v>
      </c>
      <c r="E197" s="4" t="s">
        <v>71</v>
      </c>
      <c r="F197" s="15" t="n">
        <v>-0.98</v>
      </c>
      <c r="G197" s="4" t="s">
        <v>368</v>
      </c>
      <c r="H197" s="30" t="n">
        <v>9822.15</v>
      </c>
      <c r="I197" s="31" t="n">
        <v>0.0001</v>
      </c>
      <c r="J197" s="15" t="n">
        <f aca="false">-ROUND(H197*I197,2)</f>
        <v>-0.98</v>
      </c>
      <c r="K197" s="15" t="n">
        <f aca="false">ROUND(J197-F197,2)</f>
        <v>0</v>
      </c>
      <c r="L197" s="4" t="str">
        <f aca="false">IF(ABS(K197)&lt;0.005,"OK",IF(ABS(K197)&lt;=0.11,"Rounding / minimum fee","REVIEW"))</f>
        <v>OK</v>
      </c>
    </row>
    <row r="198" customFormat="false" ht="15" hidden="false" customHeight="false" outlineLevel="0" collapsed="false">
      <c r="A198" s="18" t="n">
        <v>195</v>
      </c>
      <c r="B198" s="4" t="s">
        <v>334</v>
      </c>
      <c r="C198" s="4" t="s">
        <v>315</v>
      </c>
      <c r="D198" s="4" t="s">
        <v>563</v>
      </c>
      <c r="E198" s="4" t="s">
        <v>71</v>
      </c>
      <c r="F198" s="15" t="n">
        <v>-0.04</v>
      </c>
      <c r="G198" s="4" t="s">
        <v>376</v>
      </c>
      <c r="H198" s="30" t="n">
        <v>1</v>
      </c>
      <c r="I198" s="31" t="n">
        <v>0.0395</v>
      </c>
      <c r="J198" s="15" t="n">
        <f aca="false">-ROUND(H198*I198,2)</f>
        <v>-0.04</v>
      </c>
      <c r="K198" s="15" t="n">
        <f aca="false">ROUND(J198-F198,2)</f>
        <v>0</v>
      </c>
      <c r="L198" s="4" t="str">
        <f aca="false">IF(ABS(K198)&lt;0.005,"OK",IF(ABS(K198)&lt;=0.11,"Rounding / minimum fee","REVIEW"))</f>
        <v>OK</v>
      </c>
    </row>
    <row r="199" customFormat="false" ht="15" hidden="false" customHeight="false" outlineLevel="0" collapsed="false">
      <c r="A199" s="18" t="n">
        <v>196</v>
      </c>
      <c r="B199" s="4" t="s">
        <v>334</v>
      </c>
      <c r="C199" s="4" t="s">
        <v>315</v>
      </c>
      <c r="D199" s="4" t="s">
        <v>564</v>
      </c>
      <c r="E199" s="4" t="s">
        <v>71</v>
      </c>
      <c r="F199" s="15" t="n">
        <v>-0.2</v>
      </c>
      <c r="G199" s="4" t="s">
        <v>376</v>
      </c>
      <c r="H199" s="30" t="n">
        <v>20</v>
      </c>
      <c r="I199" s="31" t="n">
        <v>0.01</v>
      </c>
      <c r="J199" s="15" t="n">
        <f aca="false">-ROUND(H199*I199,2)</f>
        <v>-0.2</v>
      </c>
      <c r="K199" s="15" t="n">
        <f aca="false">ROUND(J199-F199,2)</f>
        <v>0</v>
      </c>
      <c r="L199" s="4" t="str">
        <f aca="false">IF(ABS(K199)&lt;0.005,"OK",IF(ABS(K199)&lt;=0.11,"Rounding / minimum fee","REVIEW"))</f>
        <v>OK</v>
      </c>
    </row>
    <row r="200" customFormat="false" ht="15" hidden="false" customHeight="false" outlineLevel="0" collapsed="false">
      <c r="A200" s="18" t="n">
        <v>197</v>
      </c>
      <c r="B200" s="4" t="s">
        <v>334</v>
      </c>
      <c r="C200" s="4" t="s">
        <v>315</v>
      </c>
      <c r="D200" s="4" t="s">
        <v>565</v>
      </c>
      <c r="E200" s="4" t="s">
        <v>71</v>
      </c>
      <c r="F200" s="15" t="n">
        <v>-0.41</v>
      </c>
      <c r="G200" s="4" t="s">
        <v>368</v>
      </c>
      <c r="H200" s="30" t="n">
        <v>4080.96</v>
      </c>
      <c r="I200" s="31" t="n">
        <v>0.0001</v>
      </c>
      <c r="J200" s="15" t="n">
        <f aca="false">-ROUND(H200*I200,2)</f>
        <v>-0.41</v>
      </c>
      <c r="K200" s="15" t="n">
        <f aca="false">ROUND(J200-F200,2)</f>
        <v>0</v>
      </c>
      <c r="L200" s="4" t="str">
        <f aca="false">IF(ABS(K200)&lt;0.005,"OK",IF(ABS(K200)&lt;=0.11,"Rounding / minimum fee","REVIEW"))</f>
        <v>OK</v>
      </c>
    </row>
    <row r="201" customFormat="false" ht="15" hidden="false" customHeight="false" outlineLevel="0" collapsed="false">
      <c r="A201" s="18" t="n">
        <v>198</v>
      </c>
      <c r="B201" s="4" t="s">
        <v>334</v>
      </c>
      <c r="C201" s="4" t="s">
        <v>315</v>
      </c>
      <c r="D201" s="4" t="s">
        <v>566</v>
      </c>
      <c r="E201" s="4" t="s">
        <v>71</v>
      </c>
      <c r="F201" s="15" t="n">
        <v>-3</v>
      </c>
      <c r="G201" s="4" t="s">
        <v>376</v>
      </c>
      <c r="H201" s="30" t="n">
        <v>2979</v>
      </c>
      <c r="I201" s="31" t="n">
        <v>0.001</v>
      </c>
      <c r="J201" s="15" t="n">
        <f aca="false">-ROUND(H201*I201,2)</f>
        <v>-2.98</v>
      </c>
      <c r="K201" s="15" t="n">
        <f aca="false">ROUND(J201-F201,2)</f>
        <v>0.02</v>
      </c>
      <c r="L201" s="4" t="str">
        <f aca="false">IF(ABS(K201)&lt;0.005,"OK",IF(ABS(K201)&lt;=0.11,"Rounding / minimum fee","REVIEW"))</f>
        <v>Rounding / minimum fee</v>
      </c>
    </row>
    <row r="202" customFormat="false" ht="15" hidden="false" customHeight="false" outlineLevel="0" collapsed="false">
      <c r="A202" s="18" t="n">
        <v>199</v>
      </c>
      <c r="B202" s="4" t="s">
        <v>334</v>
      </c>
      <c r="C202" s="4" t="s">
        <v>315</v>
      </c>
      <c r="D202" s="4" t="s">
        <v>567</v>
      </c>
      <c r="E202" s="4" t="s">
        <v>71</v>
      </c>
      <c r="F202" s="15" t="n">
        <v>-0.47</v>
      </c>
      <c r="G202" s="4" t="s">
        <v>376</v>
      </c>
      <c r="H202" s="30" t="n">
        <v>47</v>
      </c>
      <c r="I202" s="31" t="n">
        <v>0.01</v>
      </c>
      <c r="J202" s="15" t="n">
        <f aca="false">-ROUND(H202*I202,2)</f>
        <v>-0.47</v>
      </c>
      <c r="K202" s="15" t="n">
        <f aca="false">ROUND(J202-F202,2)</f>
        <v>0</v>
      </c>
      <c r="L202" s="4" t="str">
        <f aca="false">IF(ABS(K202)&lt;0.005,"OK",IF(ABS(K202)&lt;=0.11,"Rounding / minimum fee","REVIEW"))</f>
        <v>OK</v>
      </c>
    </row>
    <row r="203" customFormat="false" ht="15" hidden="false" customHeight="false" outlineLevel="0" collapsed="false">
      <c r="A203" s="18" t="n">
        <v>200</v>
      </c>
      <c r="B203" s="4" t="s">
        <v>334</v>
      </c>
      <c r="C203" s="4" t="s">
        <v>315</v>
      </c>
      <c r="D203" s="4" t="s">
        <v>568</v>
      </c>
      <c r="E203" s="4" t="s">
        <v>71</v>
      </c>
      <c r="F203" s="15" t="n">
        <v>-0.27</v>
      </c>
      <c r="G203" s="4" t="s">
        <v>376</v>
      </c>
      <c r="H203" s="30" t="n">
        <v>27</v>
      </c>
      <c r="I203" s="31" t="n">
        <v>0.01</v>
      </c>
      <c r="J203" s="15" t="n">
        <f aca="false">-ROUND(H203*I203,2)</f>
        <v>-0.27</v>
      </c>
      <c r="K203" s="15" t="n">
        <f aca="false">ROUND(J203-F203,2)</f>
        <v>0</v>
      </c>
      <c r="L203" s="4" t="str">
        <f aca="false">IF(ABS(K203)&lt;0.005,"OK",IF(ABS(K203)&lt;=0.11,"Rounding / minimum fee","REVIEW"))</f>
        <v>OK</v>
      </c>
    </row>
    <row r="204" customFormat="false" ht="15" hidden="false" customHeight="false" outlineLevel="0" collapsed="false">
      <c r="A204" s="18" t="n">
        <v>201</v>
      </c>
      <c r="B204" s="4" t="s">
        <v>334</v>
      </c>
      <c r="C204" s="4" t="s">
        <v>315</v>
      </c>
      <c r="D204" s="4" t="s">
        <v>569</v>
      </c>
      <c r="E204" s="4" t="s">
        <v>71</v>
      </c>
      <c r="F204" s="15" t="n">
        <v>-29.36</v>
      </c>
      <c r="G204" s="4" t="s">
        <v>368</v>
      </c>
      <c r="H204" s="30" t="n">
        <v>195743.41</v>
      </c>
      <c r="I204" s="31" t="n">
        <v>0.00015</v>
      </c>
      <c r="J204" s="15" t="n">
        <f aca="false">-ROUND(H204*I204,2)</f>
        <v>-29.36</v>
      </c>
      <c r="K204" s="15" t="n">
        <f aca="false">ROUND(J204-F204,2)</f>
        <v>0</v>
      </c>
      <c r="L204" s="4" t="str">
        <f aca="false">IF(ABS(K204)&lt;0.005,"OK",IF(ABS(K204)&lt;=0.11,"Rounding / minimum fee","REVIEW"))</f>
        <v>OK</v>
      </c>
    </row>
    <row r="205" customFormat="false" ht="15" hidden="false" customHeight="false" outlineLevel="0" collapsed="false">
      <c r="A205" s="18" t="n">
        <v>202</v>
      </c>
      <c r="B205" s="4" t="s">
        <v>334</v>
      </c>
      <c r="C205" s="4" t="s">
        <v>315</v>
      </c>
      <c r="D205" s="4" t="s">
        <v>570</v>
      </c>
      <c r="E205" s="4" t="s">
        <v>71</v>
      </c>
      <c r="F205" s="15" t="n">
        <v>-0.06</v>
      </c>
      <c r="G205" s="4" t="s">
        <v>376</v>
      </c>
      <c r="H205" s="30" t="n">
        <v>6</v>
      </c>
      <c r="I205" s="31" t="n">
        <v>0.01</v>
      </c>
      <c r="J205" s="15" t="n">
        <f aca="false">-ROUND(H205*I205,2)</f>
        <v>-0.06</v>
      </c>
      <c r="K205" s="15" t="n">
        <f aca="false">ROUND(J205-F205,2)</f>
        <v>0</v>
      </c>
      <c r="L205" s="4" t="str">
        <f aca="false">IF(ABS(K205)&lt;0.005,"OK",IF(ABS(K205)&lt;=0.11,"Rounding / minimum fee","REVIEW"))</f>
        <v>OK</v>
      </c>
    </row>
    <row r="206" customFormat="false" ht="15" hidden="false" customHeight="false" outlineLevel="0" collapsed="false">
      <c r="A206" s="18" t="n">
        <v>203</v>
      </c>
      <c r="B206" s="4" t="s">
        <v>334</v>
      </c>
      <c r="C206" s="4" t="s">
        <v>315</v>
      </c>
      <c r="D206" s="4" t="s">
        <v>571</v>
      </c>
      <c r="E206" s="4" t="s">
        <v>71</v>
      </c>
      <c r="F206" s="15" t="n">
        <v>-28.49</v>
      </c>
      <c r="G206" s="4" t="s">
        <v>368</v>
      </c>
      <c r="H206" s="30" t="n">
        <v>189927.74</v>
      </c>
      <c r="I206" s="31" t="n">
        <v>0.00015</v>
      </c>
      <c r="J206" s="15" t="n">
        <f aca="false">-ROUND(H206*I206,2)</f>
        <v>-28.49</v>
      </c>
      <c r="K206" s="15" t="n">
        <f aca="false">ROUND(J206-F206,2)</f>
        <v>0</v>
      </c>
      <c r="L206" s="4" t="str">
        <f aca="false">IF(ABS(K206)&lt;0.005,"OK",IF(ABS(K206)&lt;=0.11,"Rounding / minimum fee","REVIEW"))</f>
        <v>OK</v>
      </c>
    </row>
    <row r="207" customFormat="false" ht="15" hidden="false" customHeight="false" outlineLevel="0" collapsed="false">
      <c r="A207" s="18" t="n">
        <v>204</v>
      </c>
      <c r="B207" s="4" t="s">
        <v>334</v>
      </c>
      <c r="C207" s="4" t="s">
        <v>315</v>
      </c>
      <c r="D207" s="4" t="s">
        <v>572</v>
      </c>
      <c r="E207" s="4" t="s">
        <v>71</v>
      </c>
      <c r="F207" s="15" t="n">
        <v>-0.63</v>
      </c>
      <c r="G207" s="4" t="s">
        <v>368</v>
      </c>
      <c r="H207" s="30" t="n">
        <v>6324.38</v>
      </c>
      <c r="I207" s="31" t="n">
        <v>0.0001</v>
      </c>
      <c r="J207" s="15" t="n">
        <f aca="false">-ROUND(H207*I207,2)</f>
        <v>-0.63</v>
      </c>
      <c r="K207" s="15" t="n">
        <f aca="false">ROUND(J207-F207,2)</f>
        <v>0</v>
      </c>
      <c r="L207" s="4" t="str">
        <f aca="false">IF(ABS(K207)&lt;0.005,"OK",IF(ABS(K207)&lt;=0.11,"Rounding / minimum fee","REVIEW"))</f>
        <v>OK</v>
      </c>
    </row>
    <row r="208" customFormat="false" ht="15" hidden="false" customHeight="false" outlineLevel="0" collapsed="false">
      <c r="A208" s="18" t="n">
        <v>205</v>
      </c>
      <c r="B208" s="4" t="s">
        <v>334</v>
      </c>
      <c r="C208" s="4" t="s">
        <v>315</v>
      </c>
      <c r="D208" s="4" t="s">
        <v>573</v>
      </c>
      <c r="E208" s="4" t="s">
        <v>71</v>
      </c>
      <c r="F208" s="15" t="n">
        <v>-0.05</v>
      </c>
      <c r="G208" s="4" t="s">
        <v>376</v>
      </c>
      <c r="H208" s="30" t="n">
        <v>25</v>
      </c>
      <c r="I208" s="31" t="n">
        <v>0.002</v>
      </c>
      <c r="J208" s="15" t="n">
        <f aca="false">-ROUND(H208*I208,2)</f>
        <v>-0.05</v>
      </c>
      <c r="K208" s="15" t="n">
        <f aca="false">ROUND(J208-F208,2)</f>
        <v>0</v>
      </c>
      <c r="L208" s="4" t="str">
        <f aca="false">IF(ABS(K208)&lt;0.005,"OK",IF(ABS(K208)&lt;=0.11,"Rounding / minimum fee","REVIEW"))</f>
        <v>OK</v>
      </c>
    </row>
    <row r="209" customFormat="false" ht="15" hidden="false" customHeight="false" outlineLevel="0" collapsed="false">
      <c r="A209" s="18" t="n">
        <v>206</v>
      </c>
      <c r="B209" s="4" t="s">
        <v>334</v>
      </c>
      <c r="C209" s="4" t="s">
        <v>315</v>
      </c>
      <c r="D209" s="4" t="s">
        <v>574</v>
      </c>
      <c r="E209" s="4" t="s">
        <v>71</v>
      </c>
      <c r="F209" s="15" t="n">
        <v>-0.13</v>
      </c>
      <c r="G209" s="4" t="s">
        <v>376</v>
      </c>
      <c r="H209" s="30" t="n">
        <v>13</v>
      </c>
      <c r="I209" s="31" t="n">
        <v>0.01</v>
      </c>
      <c r="J209" s="15" t="n">
        <f aca="false">-ROUND(H209*I209,2)</f>
        <v>-0.13</v>
      </c>
      <c r="K209" s="15" t="n">
        <f aca="false">ROUND(J209-F209,2)</f>
        <v>0</v>
      </c>
      <c r="L209" s="4" t="str">
        <f aca="false">IF(ABS(K209)&lt;0.005,"OK",IF(ABS(K209)&lt;=0.11,"Rounding / minimum fee","REVIEW"))</f>
        <v>OK</v>
      </c>
    </row>
    <row r="210" customFormat="false" ht="15" hidden="false" customHeight="false" outlineLevel="0" collapsed="false">
      <c r="A210" s="18" t="n">
        <v>207</v>
      </c>
      <c r="B210" s="4" t="s">
        <v>334</v>
      </c>
      <c r="C210" s="4" t="s">
        <v>315</v>
      </c>
      <c r="D210" s="4" t="s">
        <v>575</v>
      </c>
      <c r="E210" s="4" t="s">
        <v>71</v>
      </c>
      <c r="F210" s="15" t="n">
        <v>-0.28</v>
      </c>
      <c r="G210" s="4" t="s">
        <v>376</v>
      </c>
      <c r="H210" s="30" t="n">
        <v>28</v>
      </c>
      <c r="I210" s="31" t="n">
        <v>0.01</v>
      </c>
      <c r="J210" s="15" t="n">
        <f aca="false">-ROUND(H210*I210,2)</f>
        <v>-0.28</v>
      </c>
      <c r="K210" s="15" t="n">
        <f aca="false">ROUND(J210-F210,2)</f>
        <v>0</v>
      </c>
      <c r="L210" s="4" t="str">
        <f aca="false">IF(ABS(K210)&lt;0.005,"OK",IF(ABS(K210)&lt;=0.11,"Rounding / minimum fee","REVIEW"))</f>
        <v>OK</v>
      </c>
    </row>
    <row r="211" customFormat="false" ht="15" hidden="false" customHeight="false" outlineLevel="0" collapsed="false">
      <c r="A211" s="18" t="n">
        <v>208</v>
      </c>
      <c r="B211" s="4" t="s">
        <v>334</v>
      </c>
      <c r="C211" s="4" t="s">
        <v>315</v>
      </c>
      <c r="D211" s="4" t="s">
        <v>576</v>
      </c>
      <c r="E211" s="4" t="s">
        <v>71</v>
      </c>
      <c r="F211" s="15" t="n">
        <v>-0.24</v>
      </c>
      <c r="G211" s="4" t="s">
        <v>368</v>
      </c>
      <c r="H211" s="30" t="n">
        <v>2364.15</v>
      </c>
      <c r="I211" s="31" t="n">
        <v>0.0001</v>
      </c>
      <c r="J211" s="15" t="n">
        <f aca="false">-ROUND(H211*I211,2)</f>
        <v>-0.24</v>
      </c>
      <c r="K211" s="15" t="n">
        <f aca="false">ROUND(J211-F211,2)</f>
        <v>0</v>
      </c>
      <c r="L211" s="4" t="str">
        <f aca="false">IF(ABS(K211)&lt;0.005,"OK",IF(ABS(K211)&lt;=0.11,"Rounding / minimum fee","REVIEW"))</f>
        <v>OK</v>
      </c>
    </row>
    <row r="212" customFormat="false" ht="15" hidden="false" customHeight="false" outlineLevel="0" collapsed="false">
      <c r="A212" s="18" t="n">
        <v>209</v>
      </c>
      <c r="B212" s="4" t="s">
        <v>334</v>
      </c>
      <c r="C212" s="4" t="s">
        <v>315</v>
      </c>
      <c r="D212" s="4" t="s">
        <v>577</v>
      </c>
      <c r="E212" s="4" t="s">
        <v>71</v>
      </c>
      <c r="F212" s="15" t="n">
        <v>-13.48</v>
      </c>
      <c r="G212" s="4" t="s">
        <v>368</v>
      </c>
      <c r="H212" s="30" t="n">
        <v>89872.36</v>
      </c>
      <c r="I212" s="31" t="n">
        <v>0.00015</v>
      </c>
      <c r="J212" s="15" t="n">
        <f aca="false">-ROUND(H212*I212,2)</f>
        <v>-13.48</v>
      </c>
      <c r="K212" s="15" t="n">
        <f aca="false">ROUND(J212-F212,2)</f>
        <v>0</v>
      </c>
      <c r="L212" s="4" t="str">
        <f aca="false">IF(ABS(K212)&lt;0.005,"OK",IF(ABS(K212)&lt;=0.11,"Rounding / minimum fee","REVIEW"))</f>
        <v>OK</v>
      </c>
    </row>
    <row r="213" customFormat="false" ht="15" hidden="false" customHeight="false" outlineLevel="0" collapsed="false">
      <c r="A213" s="18" t="n">
        <v>210</v>
      </c>
      <c r="B213" s="4" t="s">
        <v>334</v>
      </c>
      <c r="C213" s="4" t="s">
        <v>315</v>
      </c>
      <c r="D213" s="4" t="s">
        <v>578</v>
      </c>
      <c r="E213" s="4" t="s">
        <v>71</v>
      </c>
      <c r="F213" s="15" t="n">
        <v>-1</v>
      </c>
      <c r="G213" s="4" t="s">
        <v>368</v>
      </c>
      <c r="H213" s="30" t="n">
        <v>10001.36</v>
      </c>
      <c r="I213" s="31" t="n">
        <v>0.0001</v>
      </c>
      <c r="J213" s="15" t="n">
        <f aca="false">-ROUND(H213*I213,2)</f>
        <v>-1</v>
      </c>
      <c r="K213" s="15" t="n">
        <f aca="false">ROUND(J213-F213,2)</f>
        <v>0</v>
      </c>
      <c r="L213" s="4" t="str">
        <f aca="false">IF(ABS(K213)&lt;0.005,"OK",IF(ABS(K213)&lt;=0.11,"Rounding / minimum fee","REVIEW"))</f>
        <v>OK</v>
      </c>
    </row>
    <row r="214" customFormat="false" ht="15" hidden="false" customHeight="false" outlineLevel="0" collapsed="false">
      <c r="A214" s="18" t="n">
        <v>211</v>
      </c>
      <c r="B214" s="4" t="s">
        <v>334</v>
      </c>
      <c r="C214" s="4" t="s">
        <v>315</v>
      </c>
      <c r="D214" s="4" t="s">
        <v>579</v>
      </c>
      <c r="E214" s="4" t="s">
        <v>71</v>
      </c>
      <c r="F214" s="15" t="n">
        <v>-3.74</v>
      </c>
      <c r="G214" s="4" t="s">
        <v>368</v>
      </c>
      <c r="H214" s="30" t="n">
        <v>37428.88</v>
      </c>
      <c r="I214" s="31" t="n">
        <v>0.0001</v>
      </c>
      <c r="J214" s="15" t="n">
        <f aca="false">-ROUND(H214*I214,2)</f>
        <v>-3.74</v>
      </c>
      <c r="K214" s="15" t="n">
        <f aca="false">ROUND(J214-F214,2)</f>
        <v>0</v>
      </c>
      <c r="L214" s="4" t="str">
        <f aca="false">IF(ABS(K214)&lt;0.005,"OK",IF(ABS(K214)&lt;=0.11,"Rounding / minimum fee","REVIEW"))</f>
        <v>OK</v>
      </c>
    </row>
    <row r="215" customFormat="false" ht="15" hidden="false" customHeight="false" outlineLevel="0" collapsed="false">
      <c r="A215" s="18" t="n">
        <v>212</v>
      </c>
      <c r="B215" s="4" t="s">
        <v>334</v>
      </c>
      <c r="C215" s="4" t="s">
        <v>315</v>
      </c>
      <c r="D215" s="4" t="s">
        <v>580</v>
      </c>
      <c r="E215" s="4" t="s">
        <v>71</v>
      </c>
      <c r="F215" s="15" t="n">
        <v>-3.9</v>
      </c>
      <c r="G215" s="4" t="s">
        <v>368</v>
      </c>
      <c r="H215" s="30" t="n">
        <v>25967.8</v>
      </c>
      <c r="I215" s="31" t="n">
        <v>0.00015</v>
      </c>
      <c r="J215" s="15" t="n">
        <f aca="false">-ROUND(H215*I215,2)</f>
        <v>-3.9</v>
      </c>
      <c r="K215" s="15" t="n">
        <f aca="false">ROUND(J215-F215,2)</f>
        <v>0</v>
      </c>
      <c r="L215" s="4" t="str">
        <f aca="false">IF(ABS(K215)&lt;0.005,"OK",IF(ABS(K215)&lt;=0.11,"Rounding / minimum fee","REVIEW"))</f>
        <v>OK</v>
      </c>
    </row>
    <row r="216" customFormat="false" ht="15" hidden="false" customHeight="false" outlineLevel="0" collapsed="false">
      <c r="A216" s="18" t="n">
        <v>213</v>
      </c>
      <c r="B216" s="4" t="s">
        <v>334</v>
      </c>
      <c r="C216" s="4" t="s">
        <v>315</v>
      </c>
      <c r="D216" s="4" t="s">
        <v>581</v>
      </c>
      <c r="E216" s="4" t="s">
        <v>71</v>
      </c>
      <c r="F216" s="15" t="n">
        <v>-0.2</v>
      </c>
      <c r="G216" s="4" t="s">
        <v>376</v>
      </c>
      <c r="H216" s="30" t="n">
        <v>10</v>
      </c>
      <c r="I216" s="31" t="n">
        <v>0.01</v>
      </c>
      <c r="J216" s="15" t="n">
        <f aca="false">-ROUND(H216*I216,2)</f>
        <v>-0.1</v>
      </c>
      <c r="K216" s="15" t="n">
        <f aca="false">ROUND(J216-F216,2)</f>
        <v>0.1</v>
      </c>
      <c r="L216" s="4" t="str">
        <f aca="false">IF(ABS(K216)&lt;0.005,"OK",IF(ABS(K216)&lt;=0.11,"Rounding / minimum fee","REVIEW"))</f>
        <v>Rounding / minimum fee</v>
      </c>
    </row>
    <row r="217" customFormat="false" ht="15" hidden="false" customHeight="false" outlineLevel="0" collapsed="false">
      <c r="A217" s="18" t="n">
        <v>214</v>
      </c>
      <c r="B217" s="4" t="s">
        <v>334</v>
      </c>
      <c r="C217" s="4" t="s">
        <v>315</v>
      </c>
      <c r="D217" s="4" t="s">
        <v>582</v>
      </c>
      <c r="E217" s="4" t="s">
        <v>71</v>
      </c>
      <c r="F217" s="15" t="n">
        <v>-42.18</v>
      </c>
      <c r="G217" s="4" t="s">
        <v>376</v>
      </c>
      <c r="H217" s="30" t="n">
        <v>2721</v>
      </c>
      <c r="I217" s="31" t="n">
        <v>0.0155</v>
      </c>
      <c r="J217" s="15" t="n">
        <f aca="false">-ROUND(H217*I217,2)</f>
        <v>-42.18</v>
      </c>
      <c r="K217" s="15" t="n">
        <f aca="false">ROUND(J217-F217,2)</f>
        <v>0</v>
      </c>
      <c r="L217" s="4" t="str">
        <f aca="false">IF(ABS(K217)&lt;0.005,"OK",IF(ABS(K217)&lt;=0.11,"Rounding / minimum fee","REVIEW"))</f>
        <v>OK</v>
      </c>
    </row>
    <row r="218" customFormat="false" ht="15" hidden="false" customHeight="false" outlineLevel="0" collapsed="false">
      <c r="A218" s="18" t="n">
        <v>215</v>
      </c>
      <c r="B218" s="4" t="s">
        <v>334</v>
      </c>
      <c r="C218" s="4" t="s">
        <v>315</v>
      </c>
      <c r="D218" s="4" t="s">
        <v>583</v>
      </c>
      <c r="E218" s="4" t="s">
        <v>71</v>
      </c>
      <c r="F218" s="15" t="n">
        <v>-50.41</v>
      </c>
      <c r="G218" s="4" t="s">
        <v>376</v>
      </c>
      <c r="H218" s="30" t="n">
        <v>2584</v>
      </c>
      <c r="I218" s="31" t="n">
        <v>0.0195</v>
      </c>
      <c r="J218" s="15" t="n">
        <f aca="false">-ROUND(H218*I218,2)</f>
        <v>-50.39</v>
      </c>
      <c r="K218" s="15" t="n">
        <f aca="false">ROUND(J218-F218,2)</f>
        <v>0.02</v>
      </c>
      <c r="L218" s="4" t="str">
        <f aca="false">IF(ABS(K218)&lt;0.005,"OK",IF(ABS(K218)&lt;=0.11,"Rounding / minimum fee","REVIEW"))</f>
        <v>Rounding / minimum fee</v>
      </c>
    </row>
    <row r="219" customFormat="false" ht="15" hidden="false" customHeight="false" outlineLevel="0" collapsed="false">
      <c r="A219" s="18" t="n">
        <v>216</v>
      </c>
      <c r="B219" s="4" t="s">
        <v>334</v>
      </c>
      <c r="C219" s="4" t="s">
        <v>315</v>
      </c>
      <c r="D219" s="4" t="s">
        <v>584</v>
      </c>
      <c r="E219" s="4" t="s">
        <v>71</v>
      </c>
      <c r="F219" s="15" t="n">
        <v>-3.7</v>
      </c>
      <c r="G219" s="4" t="s">
        <v>376</v>
      </c>
      <c r="H219" s="30" t="n">
        <v>37</v>
      </c>
      <c r="I219" s="31" t="n">
        <v>0.1</v>
      </c>
      <c r="J219" s="15" t="n">
        <f aca="false">-ROUND(H219*I219,2)</f>
        <v>-3.7</v>
      </c>
      <c r="K219" s="15" t="n">
        <f aca="false">ROUND(J219-F219,2)</f>
        <v>0</v>
      </c>
      <c r="L219" s="4" t="str">
        <f aca="false">IF(ABS(K219)&lt;0.005,"OK",IF(ABS(K219)&lt;=0.11,"Rounding / minimum fee","REVIEW"))</f>
        <v>OK</v>
      </c>
    </row>
    <row r="220" customFormat="false" ht="15" hidden="false" customHeight="false" outlineLevel="0" collapsed="false">
      <c r="A220" s="18" t="n">
        <v>217</v>
      </c>
      <c r="B220" s="4" t="s">
        <v>334</v>
      </c>
      <c r="C220" s="4" t="s">
        <v>315</v>
      </c>
      <c r="D220" s="4" t="s">
        <v>585</v>
      </c>
      <c r="E220" s="4" t="s">
        <v>71</v>
      </c>
      <c r="F220" s="15" t="n">
        <v>-0.02</v>
      </c>
      <c r="G220" s="4" t="s">
        <v>368</v>
      </c>
      <c r="H220" s="30" t="n">
        <v>172.03</v>
      </c>
      <c r="I220" s="31" t="n">
        <v>0.0001</v>
      </c>
      <c r="J220" s="15" t="n">
        <f aca="false">-ROUND(H220*I220,2)</f>
        <v>-0.02</v>
      </c>
      <c r="K220" s="15" t="n">
        <f aca="false">ROUND(J220-F220,2)</f>
        <v>0</v>
      </c>
      <c r="L220" s="4" t="str">
        <f aca="false">IF(ABS(K220)&lt;0.005,"OK",IF(ABS(K220)&lt;=0.11,"Rounding / minimum fee","REVIEW"))</f>
        <v>OK</v>
      </c>
    </row>
    <row r="221" customFormat="false" ht="15" hidden="false" customHeight="false" outlineLevel="0" collapsed="false">
      <c r="A221" s="18" t="n">
        <v>218</v>
      </c>
      <c r="B221" s="4" t="s">
        <v>334</v>
      </c>
      <c r="C221" s="4" t="s">
        <v>315</v>
      </c>
      <c r="D221" s="4" t="s">
        <v>586</v>
      </c>
      <c r="E221" s="4" t="s">
        <v>71</v>
      </c>
      <c r="F221" s="15" t="n">
        <v>-1.44</v>
      </c>
      <c r="G221" s="4" t="s">
        <v>368</v>
      </c>
      <c r="H221" s="30" t="n">
        <v>14352.53</v>
      </c>
      <c r="I221" s="31" t="n">
        <v>0.0001</v>
      </c>
      <c r="J221" s="15" t="n">
        <f aca="false">-ROUND(H221*I221,2)</f>
        <v>-1.44</v>
      </c>
      <c r="K221" s="15" t="n">
        <f aca="false">ROUND(J221-F221,2)</f>
        <v>0</v>
      </c>
      <c r="L221" s="4" t="str">
        <f aca="false">IF(ABS(K221)&lt;0.005,"OK",IF(ABS(K221)&lt;=0.11,"Rounding / minimum fee","REVIEW"))</f>
        <v>OK</v>
      </c>
    </row>
    <row r="222" customFormat="false" ht="15" hidden="false" customHeight="false" outlineLevel="0" collapsed="false">
      <c r="A222" s="18" t="n">
        <v>219</v>
      </c>
      <c r="B222" s="4" t="s">
        <v>334</v>
      </c>
      <c r="C222" s="4" t="s">
        <v>315</v>
      </c>
      <c r="D222" s="4" t="s">
        <v>587</v>
      </c>
      <c r="E222" s="4" t="s">
        <v>71</v>
      </c>
      <c r="F222" s="15" t="n">
        <v>-17.54</v>
      </c>
      <c r="G222" s="4" t="s">
        <v>368</v>
      </c>
      <c r="H222" s="30" t="n">
        <v>116966.19</v>
      </c>
      <c r="I222" s="31" t="n">
        <v>0.00015</v>
      </c>
      <c r="J222" s="15" t="n">
        <f aca="false">-ROUND(H222*I222,2)</f>
        <v>-17.54</v>
      </c>
      <c r="K222" s="15" t="n">
        <f aca="false">ROUND(J222-F222,2)</f>
        <v>0</v>
      </c>
      <c r="L222" s="4" t="str">
        <f aca="false">IF(ABS(K222)&lt;0.005,"OK",IF(ABS(K222)&lt;=0.11,"Rounding / minimum fee","REVIEW"))</f>
        <v>OK</v>
      </c>
    </row>
    <row r="223" customFormat="false" ht="15" hidden="false" customHeight="false" outlineLevel="0" collapsed="false">
      <c r="A223" s="18" t="n">
        <v>220</v>
      </c>
      <c r="B223" s="4" t="s">
        <v>334</v>
      </c>
      <c r="C223" s="4" t="s">
        <v>315</v>
      </c>
      <c r="D223" s="4" t="s">
        <v>588</v>
      </c>
      <c r="E223" s="4" t="s">
        <v>71</v>
      </c>
      <c r="F223" s="15" t="n">
        <v>-1.29</v>
      </c>
      <c r="G223" s="4" t="s">
        <v>368</v>
      </c>
      <c r="H223" s="30" t="n">
        <v>12914.62</v>
      </c>
      <c r="I223" s="31" t="n">
        <v>0.0001</v>
      </c>
      <c r="J223" s="15" t="n">
        <f aca="false">-ROUND(H223*I223,2)</f>
        <v>-1.29</v>
      </c>
      <c r="K223" s="15" t="n">
        <f aca="false">ROUND(J223-F223,2)</f>
        <v>0</v>
      </c>
      <c r="L223" s="4" t="str">
        <f aca="false">IF(ABS(K223)&lt;0.005,"OK",IF(ABS(K223)&lt;=0.11,"Rounding / minimum fee","REVIEW"))</f>
        <v>OK</v>
      </c>
    </row>
    <row r="224" customFormat="false" ht="15" hidden="false" customHeight="false" outlineLevel="0" collapsed="false">
      <c r="A224" s="18" t="n">
        <v>221</v>
      </c>
      <c r="B224" s="4" t="s">
        <v>334</v>
      </c>
      <c r="C224" s="4" t="s">
        <v>315</v>
      </c>
      <c r="D224" s="4" t="s">
        <v>589</v>
      </c>
      <c r="E224" s="4" t="s">
        <v>71</v>
      </c>
      <c r="F224" s="15" t="n">
        <v>-19.71</v>
      </c>
      <c r="G224" s="4" t="s">
        <v>368</v>
      </c>
      <c r="H224" s="30" t="n">
        <v>131379.29</v>
      </c>
      <c r="I224" s="31" t="n">
        <v>0.00015</v>
      </c>
      <c r="J224" s="15" t="n">
        <f aca="false">-ROUND(H224*I224,2)</f>
        <v>-19.71</v>
      </c>
      <c r="K224" s="15" t="n">
        <f aca="false">ROUND(J224-F224,2)</f>
        <v>0</v>
      </c>
      <c r="L224" s="4" t="str">
        <f aca="false">IF(ABS(K224)&lt;0.005,"OK",IF(ABS(K224)&lt;=0.11,"Rounding / minimum fee","REVIEW"))</f>
        <v>OK</v>
      </c>
    </row>
    <row r="225" customFormat="false" ht="15" hidden="false" customHeight="false" outlineLevel="0" collapsed="false">
      <c r="A225" s="18" t="n">
        <v>222</v>
      </c>
      <c r="B225" s="4" t="s">
        <v>334</v>
      </c>
      <c r="C225" s="4" t="s">
        <v>315</v>
      </c>
      <c r="D225" s="4" t="s">
        <v>590</v>
      </c>
      <c r="E225" s="4" t="s">
        <v>71</v>
      </c>
      <c r="F225" s="15" t="n">
        <v>-0.76</v>
      </c>
      <c r="G225" s="4" t="s">
        <v>368</v>
      </c>
      <c r="H225" s="30" t="n">
        <v>7622.14</v>
      </c>
      <c r="I225" s="31" t="n">
        <v>0.0001</v>
      </c>
      <c r="J225" s="15" t="n">
        <f aca="false">-ROUND(H225*I225,2)</f>
        <v>-0.76</v>
      </c>
      <c r="K225" s="15" t="n">
        <f aca="false">ROUND(J225-F225,2)</f>
        <v>0</v>
      </c>
      <c r="L225" s="4" t="str">
        <f aca="false">IF(ABS(K225)&lt;0.005,"OK",IF(ABS(K225)&lt;=0.11,"Rounding / minimum fee","REVIEW"))</f>
        <v>OK</v>
      </c>
    </row>
    <row r="226" customFormat="false" ht="15" hidden="false" customHeight="false" outlineLevel="0" collapsed="false">
      <c r="A226" s="18" t="n">
        <v>223</v>
      </c>
      <c r="B226" s="4" t="s">
        <v>334</v>
      </c>
      <c r="C226" s="4" t="s">
        <v>315</v>
      </c>
      <c r="D226" s="4" t="s">
        <v>591</v>
      </c>
      <c r="E226" s="4" t="s">
        <v>71</v>
      </c>
      <c r="F226" s="15" t="n">
        <v>-45.53</v>
      </c>
      <c r="G226" s="4" t="s">
        <v>368</v>
      </c>
      <c r="H226" s="30" t="n">
        <v>303544.61</v>
      </c>
      <c r="I226" s="31" t="n">
        <v>0.00015</v>
      </c>
      <c r="J226" s="15" t="n">
        <f aca="false">-ROUND(H226*I226,2)</f>
        <v>-45.53</v>
      </c>
      <c r="K226" s="15" t="n">
        <f aca="false">ROUND(J226-F226,2)</f>
        <v>0</v>
      </c>
      <c r="L226" s="4" t="str">
        <f aca="false">IF(ABS(K226)&lt;0.005,"OK",IF(ABS(K226)&lt;=0.11,"Rounding / minimum fee","REVIEW"))</f>
        <v>OK</v>
      </c>
    </row>
    <row r="227" customFormat="false" ht="15" hidden="false" customHeight="false" outlineLevel="0" collapsed="false">
      <c r="A227" s="18" t="n">
        <v>224</v>
      </c>
      <c r="B227" s="4" t="s">
        <v>334</v>
      </c>
      <c r="C227" s="4" t="s">
        <v>315</v>
      </c>
      <c r="D227" s="4" t="s">
        <v>592</v>
      </c>
      <c r="E227" s="4" t="s">
        <v>71</v>
      </c>
      <c r="F227" s="15" t="n">
        <v>-23.58</v>
      </c>
      <c r="G227" s="4" t="s">
        <v>368</v>
      </c>
      <c r="H227" s="30" t="n">
        <v>157173.64</v>
      </c>
      <c r="I227" s="31" t="n">
        <v>0.00015</v>
      </c>
      <c r="J227" s="15" t="n">
        <f aca="false">-ROUND(H227*I227,2)</f>
        <v>-23.58</v>
      </c>
      <c r="K227" s="15" t="n">
        <f aca="false">ROUND(J227-F227,2)</f>
        <v>0</v>
      </c>
      <c r="L227" s="4" t="str">
        <f aca="false">IF(ABS(K227)&lt;0.005,"OK",IF(ABS(K227)&lt;=0.11,"Rounding / minimum fee","REVIEW"))</f>
        <v>OK</v>
      </c>
    </row>
    <row r="228" customFormat="false" ht="15" hidden="false" customHeight="false" outlineLevel="0" collapsed="false">
      <c r="A228" s="18" t="n">
        <v>225</v>
      </c>
      <c r="B228" s="4" t="s">
        <v>334</v>
      </c>
      <c r="C228" s="4" t="s">
        <v>315</v>
      </c>
      <c r="D228" s="4" t="s">
        <v>593</v>
      </c>
      <c r="E228" s="4" t="s">
        <v>71</v>
      </c>
      <c r="F228" s="15" t="n">
        <v>-0.01</v>
      </c>
      <c r="G228" s="4" t="s">
        <v>376</v>
      </c>
      <c r="H228" s="30" t="n">
        <v>1</v>
      </c>
      <c r="I228" s="31" t="n">
        <v>0.01</v>
      </c>
      <c r="J228" s="15" t="n">
        <f aca="false">-ROUND(H228*I228,2)</f>
        <v>-0.01</v>
      </c>
      <c r="K228" s="15" t="n">
        <f aca="false">ROUND(J228-F228,2)</f>
        <v>0</v>
      </c>
      <c r="L228" s="4" t="str">
        <f aca="false">IF(ABS(K228)&lt;0.005,"OK",IF(ABS(K228)&lt;=0.11,"Rounding / minimum fee","REVIEW"))</f>
        <v>OK</v>
      </c>
    </row>
    <row r="229" customFormat="false" ht="15" hidden="false" customHeight="false" outlineLevel="0" collapsed="false">
      <c r="A229" s="18" t="n">
        <v>226</v>
      </c>
      <c r="B229" s="4" t="s">
        <v>334</v>
      </c>
      <c r="C229" s="4" t="s">
        <v>315</v>
      </c>
      <c r="D229" s="4" t="s">
        <v>594</v>
      </c>
      <c r="E229" s="4" t="s">
        <v>71</v>
      </c>
      <c r="F229" s="15" t="n">
        <v>-0.57</v>
      </c>
      <c r="G229" s="4" t="s">
        <v>376</v>
      </c>
      <c r="H229" s="30" t="n">
        <v>57</v>
      </c>
      <c r="I229" s="31" t="n">
        <v>0.01</v>
      </c>
      <c r="J229" s="15" t="n">
        <f aca="false">-ROUND(H229*I229,2)</f>
        <v>-0.57</v>
      </c>
      <c r="K229" s="15" t="n">
        <f aca="false">ROUND(J229-F229,2)</f>
        <v>0</v>
      </c>
      <c r="L229" s="4" t="str">
        <f aca="false">IF(ABS(K229)&lt;0.005,"OK",IF(ABS(K229)&lt;=0.11,"Rounding / minimum fee","REVIEW"))</f>
        <v>OK</v>
      </c>
    </row>
    <row r="230" customFormat="false" ht="15" hidden="false" customHeight="false" outlineLevel="0" collapsed="false">
      <c r="A230" s="18" t="n">
        <v>227</v>
      </c>
      <c r="B230" s="4" t="s">
        <v>334</v>
      </c>
      <c r="C230" s="4" t="s">
        <v>315</v>
      </c>
      <c r="D230" s="4" t="s">
        <v>595</v>
      </c>
      <c r="E230" s="4" t="s">
        <v>71</v>
      </c>
      <c r="F230" s="15" t="n">
        <v>-0.32</v>
      </c>
      <c r="G230" s="4" t="s">
        <v>368</v>
      </c>
      <c r="H230" s="30" t="n">
        <v>3198.79</v>
      </c>
      <c r="I230" s="31" t="n">
        <v>0.0001</v>
      </c>
      <c r="J230" s="15" t="n">
        <f aca="false">-ROUND(H230*I230,2)</f>
        <v>-0.32</v>
      </c>
      <c r="K230" s="15" t="n">
        <f aca="false">ROUND(J230-F230,2)</f>
        <v>0</v>
      </c>
      <c r="L230" s="4" t="str">
        <f aca="false">IF(ABS(K230)&lt;0.005,"OK",IF(ABS(K230)&lt;=0.11,"Rounding / minimum fee","REVIEW"))</f>
        <v>OK</v>
      </c>
    </row>
    <row r="231" customFormat="false" ht="15" hidden="false" customHeight="false" outlineLevel="0" collapsed="false">
      <c r="A231" s="18" t="n">
        <v>228</v>
      </c>
      <c r="B231" s="4" t="s">
        <v>334</v>
      </c>
      <c r="C231" s="4" t="s">
        <v>315</v>
      </c>
      <c r="D231" s="4" t="s">
        <v>596</v>
      </c>
      <c r="E231" s="4" t="s">
        <v>71</v>
      </c>
      <c r="F231" s="15" t="n">
        <v>-0.08</v>
      </c>
      <c r="G231" s="4" t="s">
        <v>376</v>
      </c>
      <c r="H231" s="30" t="n">
        <v>8</v>
      </c>
      <c r="I231" s="31" t="n">
        <v>0.01</v>
      </c>
      <c r="J231" s="15" t="n">
        <f aca="false">-ROUND(H231*I231,2)</f>
        <v>-0.08</v>
      </c>
      <c r="K231" s="15" t="n">
        <f aca="false">ROUND(J231-F231,2)</f>
        <v>0</v>
      </c>
      <c r="L231" s="4" t="str">
        <f aca="false">IF(ABS(K231)&lt;0.005,"OK",IF(ABS(K231)&lt;=0.11,"Rounding / minimum fee","REVIEW"))</f>
        <v>OK</v>
      </c>
    </row>
    <row r="232" customFormat="false" ht="15" hidden="false" customHeight="false" outlineLevel="0" collapsed="false">
      <c r="A232" s="18" t="n">
        <v>229</v>
      </c>
      <c r="B232" s="4" t="s">
        <v>334</v>
      </c>
      <c r="C232" s="4" t="s">
        <v>315</v>
      </c>
      <c r="D232" s="4" t="s">
        <v>597</v>
      </c>
      <c r="E232" s="4" t="s">
        <v>71</v>
      </c>
      <c r="F232" s="15" t="n">
        <v>-0.04</v>
      </c>
      <c r="G232" s="4" t="s">
        <v>376</v>
      </c>
      <c r="H232" s="30" t="n">
        <v>4</v>
      </c>
      <c r="I232" s="31" t="n">
        <v>0.01</v>
      </c>
      <c r="J232" s="15" t="n">
        <f aca="false">-ROUND(H232*I232,2)</f>
        <v>-0.04</v>
      </c>
      <c r="K232" s="15" t="n">
        <f aca="false">ROUND(J232-F232,2)</f>
        <v>0</v>
      </c>
      <c r="L232" s="4" t="str">
        <f aca="false">IF(ABS(K232)&lt;0.005,"OK",IF(ABS(K232)&lt;=0.11,"Rounding / minimum fee","REVIEW"))</f>
        <v>OK</v>
      </c>
    </row>
    <row r="233" customFormat="false" ht="15" hidden="false" customHeight="false" outlineLevel="0" collapsed="false">
      <c r="A233" s="18" t="n">
        <v>230</v>
      </c>
      <c r="B233" s="4" t="s">
        <v>334</v>
      </c>
      <c r="C233" s="4" t="s">
        <v>315</v>
      </c>
      <c r="D233" s="4" t="s">
        <v>598</v>
      </c>
      <c r="E233" s="4" t="s">
        <v>71</v>
      </c>
      <c r="F233" s="15" t="n">
        <v>-52.06</v>
      </c>
      <c r="G233" s="4" t="s">
        <v>368</v>
      </c>
      <c r="H233" s="30" t="n">
        <v>347064.54</v>
      </c>
      <c r="I233" s="31" t="n">
        <v>0.00015</v>
      </c>
      <c r="J233" s="15" t="n">
        <f aca="false">-ROUND(H233*I233,2)</f>
        <v>-52.06</v>
      </c>
      <c r="K233" s="15" t="n">
        <f aca="false">ROUND(J233-F233,2)</f>
        <v>0</v>
      </c>
      <c r="L233" s="4" t="str">
        <f aca="false">IF(ABS(K233)&lt;0.005,"OK",IF(ABS(K233)&lt;=0.11,"Rounding / minimum fee","REVIEW"))</f>
        <v>OK</v>
      </c>
    </row>
    <row r="234" customFormat="false" ht="15" hidden="false" customHeight="false" outlineLevel="0" collapsed="false">
      <c r="A234" s="18" t="n">
        <v>231</v>
      </c>
      <c r="B234" s="4" t="s">
        <v>334</v>
      </c>
      <c r="C234" s="4" t="s">
        <v>315</v>
      </c>
      <c r="D234" s="4" t="s">
        <v>599</v>
      </c>
      <c r="E234" s="4" t="s">
        <v>71</v>
      </c>
      <c r="F234" s="15" t="n">
        <v>-3.59</v>
      </c>
      <c r="G234" s="4" t="s">
        <v>368</v>
      </c>
      <c r="H234" s="30" t="n">
        <v>23952.33</v>
      </c>
      <c r="I234" s="31" t="n">
        <v>0.00015</v>
      </c>
      <c r="J234" s="15" t="n">
        <f aca="false">-ROUND(H234*I234,2)</f>
        <v>-3.59</v>
      </c>
      <c r="K234" s="15" t="n">
        <f aca="false">ROUND(J234-F234,2)</f>
        <v>0</v>
      </c>
      <c r="L234" s="4" t="str">
        <f aca="false">IF(ABS(K234)&lt;0.005,"OK",IF(ABS(K234)&lt;=0.11,"Rounding / minimum fee","REVIEW"))</f>
        <v>OK</v>
      </c>
    </row>
    <row r="235" customFormat="false" ht="15" hidden="false" customHeight="false" outlineLevel="0" collapsed="false">
      <c r="A235" s="18" t="n">
        <v>232</v>
      </c>
      <c r="B235" s="4" t="s">
        <v>334</v>
      </c>
      <c r="C235" s="4" t="s">
        <v>315</v>
      </c>
      <c r="D235" s="4" t="s">
        <v>600</v>
      </c>
      <c r="E235" s="4" t="s">
        <v>71</v>
      </c>
      <c r="F235" s="15" t="n">
        <v>-2.15</v>
      </c>
      <c r="G235" s="4" t="s">
        <v>368</v>
      </c>
      <c r="H235" s="30" t="n">
        <v>21546.79</v>
      </c>
      <c r="I235" s="31" t="n">
        <v>0.0001</v>
      </c>
      <c r="J235" s="15" t="n">
        <f aca="false">-ROUND(H235*I235,2)</f>
        <v>-2.15</v>
      </c>
      <c r="K235" s="15" t="n">
        <f aca="false">ROUND(J235-F235,2)</f>
        <v>0</v>
      </c>
      <c r="L235" s="4" t="str">
        <f aca="false">IF(ABS(K235)&lt;0.005,"OK",IF(ABS(K235)&lt;=0.11,"Rounding / minimum fee","REVIEW"))</f>
        <v>OK</v>
      </c>
    </row>
    <row r="236" customFormat="false" ht="15" hidden="false" customHeight="false" outlineLevel="0" collapsed="false">
      <c r="A236" s="18" t="n">
        <v>233</v>
      </c>
      <c r="B236" s="4" t="s">
        <v>334</v>
      </c>
      <c r="C236" s="4" t="s">
        <v>315</v>
      </c>
      <c r="D236" s="4" t="s">
        <v>601</v>
      </c>
      <c r="E236" s="4" t="s">
        <v>71</v>
      </c>
      <c r="F236" s="15" t="n">
        <v>-0.09</v>
      </c>
      <c r="G236" s="4" t="s">
        <v>376</v>
      </c>
      <c r="H236" s="30" t="n">
        <v>9</v>
      </c>
      <c r="I236" s="31" t="n">
        <v>0.01</v>
      </c>
      <c r="J236" s="15" t="n">
        <f aca="false">-ROUND(H236*I236,2)</f>
        <v>-0.09</v>
      </c>
      <c r="K236" s="15" t="n">
        <f aca="false">ROUND(J236-F236,2)</f>
        <v>0</v>
      </c>
      <c r="L236" s="4" t="str">
        <f aca="false">IF(ABS(K236)&lt;0.005,"OK",IF(ABS(K236)&lt;=0.11,"Rounding / minimum fee","REVIEW"))</f>
        <v>OK</v>
      </c>
    </row>
    <row r="237" customFormat="false" ht="15" hidden="false" customHeight="false" outlineLevel="0" collapsed="false">
      <c r="A237" s="18" t="n">
        <v>234</v>
      </c>
      <c r="B237" s="4" t="s">
        <v>334</v>
      </c>
      <c r="C237" s="4" t="s">
        <v>315</v>
      </c>
      <c r="D237" s="4" t="s">
        <v>602</v>
      </c>
      <c r="E237" s="4" t="s">
        <v>71</v>
      </c>
      <c r="F237" s="15" t="n">
        <v>-3.11</v>
      </c>
      <c r="G237" s="4" t="s">
        <v>368</v>
      </c>
      <c r="H237" s="30" t="n">
        <v>20748.46</v>
      </c>
      <c r="I237" s="31" t="n">
        <v>0.00015</v>
      </c>
      <c r="J237" s="15" t="n">
        <f aca="false">-ROUND(H237*I237,2)</f>
        <v>-3.11</v>
      </c>
      <c r="K237" s="15" t="n">
        <f aca="false">ROUND(J237-F237,2)</f>
        <v>0</v>
      </c>
      <c r="L237" s="4" t="str">
        <f aca="false">IF(ABS(K237)&lt;0.005,"OK",IF(ABS(K237)&lt;=0.11,"Rounding / minimum fee","REVIEW"))</f>
        <v>OK</v>
      </c>
    </row>
    <row r="238" customFormat="false" ht="15" hidden="false" customHeight="false" outlineLevel="0" collapsed="false">
      <c r="A238" s="18" t="n">
        <v>235</v>
      </c>
      <c r="B238" s="4" t="s">
        <v>334</v>
      </c>
      <c r="C238" s="4" t="s">
        <v>315</v>
      </c>
      <c r="D238" s="4" t="s">
        <v>603</v>
      </c>
      <c r="E238" s="4" t="s">
        <v>71</v>
      </c>
      <c r="F238" s="15" t="n">
        <v>-0.29</v>
      </c>
      <c r="G238" s="4" t="s">
        <v>376</v>
      </c>
      <c r="H238" s="30" t="n">
        <v>29</v>
      </c>
      <c r="I238" s="31" t="n">
        <v>0.01</v>
      </c>
      <c r="J238" s="15" t="n">
        <f aca="false">-ROUND(H238*I238,2)</f>
        <v>-0.29</v>
      </c>
      <c r="K238" s="15" t="n">
        <f aca="false">ROUND(J238-F238,2)</f>
        <v>0</v>
      </c>
      <c r="L238" s="4" t="str">
        <f aca="false">IF(ABS(K238)&lt;0.005,"OK",IF(ABS(K238)&lt;=0.11,"Rounding / minimum fee","REVIEW"))</f>
        <v>OK</v>
      </c>
    </row>
    <row r="239" customFormat="false" ht="15" hidden="false" customHeight="false" outlineLevel="0" collapsed="false">
      <c r="A239" s="18" t="n">
        <v>236</v>
      </c>
      <c r="B239" s="4" t="s">
        <v>334</v>
      </c>
      <c r="C239" s="4" t="s">
        <v>315</v>
      </c>
      <c r="D239" s="4" t="s">
        <v>604</v>
      </c>
      <c r="E239" s="4" t="s">
        <v>71</v>
      </c>
      <c r="F239" s="15" t="n">
        <v>-0.39</v>
      </c>
      <c r="G239" s="4" t="s">
        <v>368</v>
      </c>
      <c r="H239" s="30" t="n">
        <v>3886.11</v>
      </c>
      <c r="I239" s="31" t="n">
        <v>0.0001</v>
      </c>
      <c r="J239" s="15" t="n">
        <f aca="false">-ROUND(H239*I239,2)</f>
        <v>-0.39</v>
      </c>
      <c r="K239" s="15" t="n">
        <f aca="false">ROUND(J239-F239,2)</f>
        <v>0</v>
      </c>
      <c r="L239" s="4" t="str">
        <f aca="false">IF(ABS(K239)&lt;0.005,"OK",IF(ABS(K239)&lt;=0.11,"Rounding / minimum fee","REVIEW"))</f>
        <v>OK</v>
      </c>
    </row>
    <row r="240" customFormat="false" ht="15" hidden="false" customHeight="false" outlineLevel="0" collapsed="false">
      <c r="A240" s="18" t="n">
        <v>237</v>
      </c>
      <c r="B240" s="4" t="s">
        <v>334</v>
      </c>
      <c r="C240" s="4" t="s">
        <v>315</v>
      </c>
      <c r="D240" s="4" t="s">
        <v>605</v>
      </c>
      <c r="E240" s="4" t="s">
        <v>71</v>
      </c>
      <c r="F240" s="15" t="n">
        <v>-22.33</v>
      </c>
      <c r="G240" s="4" t="s">
        <v>368</v>
      </c>
      <c r="H240" s="30" t="n">
        <v>148890.04</v>
      </c>
      <c r="I240" s="31" t="n">
        <v>0.00015</v>
      </c>
      <c r="J240" s="15" t="n">
        <f aca="false">-ROUND(H240*I240,2)</f>
        <v>-22.33</v>
      </c>
      <c r="K240" s="15" t="n">
        <f aca="false">ROUND(J240-F240,2)</f>
        <v>0</v>
      </c>
      <c r="L240" s="4" t="str">
        <f aca="false">IF(ABS(K240)&lt;0.005,"OK",IF(ABS(K240)&lt;=0.11,"Rounding / minimum fee","REVIEW"))</f>
        <v>OK</v>
      </c>
    </row>
    <row r="241" customFormat="false" ht="15" hidden="false" customHeight="false" outlineLevel="0" collapsed="false">
      <c r="A241" s="18" t="n">
        <v>238</v>
      </c>
      <c r="B241" s="4" t="s">
        <v>334</v>
      </c>
      <c r="C241" s="4" t="s">
        <v>315</v>
      </c>
      <c r="D241" s="4" t="s">
        <v>606</v>
      </c>
      <c r="E241" s="4" t="s">
        <v>71</v>
      </c>
      <c r="F241" s="15" t="n">
        <v>-0.33</v>
      </c>
      <c r="G241" s="4" t="s">
        <v>376</v>
      </c>
      <c r="H241" s="30" t="n">
        <v>33</v>
      </c>
      <c r="I241" s="31" t="n">
        <v>0.01</v>
      </c>
      <c r="J241" s="15" t="n">
        <f aca="false">-ROUND(H241*I241,2)</f>
        <v>-0.33</v>
      </c>
      <c r="K241" s="15" t="n">
        <f aca="false">ROUND(J241-F241,2)</f>
        <v>0</v>
      </c>
      <c r="L241" s="4" t="str">
        <f aca="false">IF(ABS(K241)&lt;0.005,"OK",IF(ABS(K241)&lt;=0.11,"Rounding / minimum fee","REVIEW"))</f>
        <v>OK</v>
      </c>
    </row>
    <row r="242" customFormat="false" ht="15" hidden="false" customHeight="false" outlineLevel="0" collapsed="false">
      <c r="A242" s="18" t="n">
        <v>239</v>
      </c>
      <c r="B242" s="4" t="s">
        <v>334</v>
      </c>
      <c r="C242" s="4" t="s">
        <v>315</v>
      </c>
      <c r="D242" s="4" t="s">
        <v>607</v>
      </c>
      <c r="E242" s="4" t="s">
        <v>71</v>
      </c>
      <c r="F242" s="15" t="n">
        <v>-10.35</v>
      </c>
      <c r="G242" s="4" t="s">
        <v>368</v>
      </c>
      <c r="H242" s="30" t="n">
        <v>68994.55</v>
      </c>
      <c r="I242" s="31" t="n">
        <v>0.00015</v>
      </c>
      <c r="J242" s="15" t="n">
        <f aca="false">-ROUND(H242*I242,2)</f>
        <v>-10.35</v>
      </c>
      <c r="K242" s="15" t="n">
        <f aca="false">ROUND(J242-F242,2)</f>
        <v>0</v>
      </c>
      <c r="L242" s="4" t="str">
        <f aca="false">IF(ABS(K242)&lt;0.005,"OK",IF(ABS(K242)&lt;=0.11,"Rounding / minimum fee","REVIEW"))</f>
        <v>OK</v>
      </c>
    </row>
    <row r="243" customFormat="false" ht="15" hidden="false" customHeight="false" outlineLevel="0" collapsed="false">
      <c r="A243" s="18" t="n">
        <v>240</v>
      </c>
      <c r="B243" s="4" t="s">
        <v>334</v>
      </c>
      <c r="C243" s="4" t="s">
        <v>315</v>
      </c>
      <c r="D243" s="4" t="s">
        <v>608</v>
      </c>
      <c r="E243" s="4" t="s">
        <v>71</v>
      </c>
      <c r="F243" s="15" t="n">
        <v>-0.01</v>
      </c>
      <c r="G243" s="4" t="s">
        <v>376</v>
      </c>
      <c r="H243" s="30" t="n">
        <v>3</v>
      </c>
      <c r="I243" s="31" t="n">
        <v>0.002</v>
      </c>
      <c r="J243" s="15" t="n">
        <f aca="false">-ROUND(H243*I243,2)</f>
        <v>-0.01</v>
      </c>
      <c r="K243" s="15" t="n">
        <f aca="false">ROUND(J243-F243,2)</f>
        <v>0</v>
      </c>
      <c r="L243" s="4" t="str">
        <f aca="false">IF(ABS(K243)&lt;0.005,"OK",IF(ABS(K243)&lt;=0.11,"Rounding / minimum fee","REVIEW"))</f>
        <v>OK</v>
      </c>
    </row>
    <row r="244" customFormat="false" ht="15" hidden="false" customHeight="false" outlineLevel="0" collapsed="false">
      <c r="A244" s="18" t="n">
        <v>241</v>
      </c>
      <c r="B244" s="4" t="s">
        <v>334</v>
      </c>
      <c r="C244" s="4" t="s">
        <v>315</v>
      </c>
      <c r="D244" s="4" t="s">
        <v>609</v>
      </c>
      <c r="E244" s="4" t="s">
        <v>71</v>
      </c>
      <c r="F244" s="15" t="n">
        <v>-0.9</v>
      </c>
      <c r="G244" s="4" t="s">
        <v>376</v>
      </c>
      <c r="H244" s="30" t="n">
        <v>6</v>
      </c>
      <c r="I244" s="31" t="n">
        <v>0.15</v>
      </c>
      <c r="J244" s="15" t="n">
        <f aca="false">-ROUND(H244*I244,2)</f>
        <v>-0.9</v>
      </c>
      <c r="K244" s="15" t="n">
        <f aca="false">ROUND(J244-F244,2)</f>
        <v>0</v>
      </c>
      <c r="L244" s="4" t="str">
        <f aca="false">IF(ABS(K244)&lt;0.005,"OK",IF(ABS(K244)&lt;=0.11,"Rounding / minimum fee","REVIEW"))</f>
        <v>OK</v>
      </c>
    </row>
    <row r="245" customFormat="false" ht="15" hidden="false" customHeight="false" outlineLevel="0" collapsed="false">
      <c r="A245" s="18" t="n">
        <v>242</v>
      </c>
      <c r="B245" s="4" t="s">
        <v>334</v>
      </c>
      <c r="C245" s="4" t="s">
        <v>315</v>
      </c>
      <c r="D245" s="4" t="s">
        <v>610</v>
      </c>
      <c r="E245" s="4" t="s">
        <v>71</v>
      </c>
      <c r="F245" s="15" t="n">
        <v>-0.22</v>
      </c>
      <c r="G245" s="4" t="s">
        <v>376</v>
      </c>
      <c r="H245" s="30" t="n">
        <v>22</v>
      </c>
      <c r="I245" s="31" t="n">
        <v>0.01</v>
      </c>
      <c r="J245" s="15" t="n">
        <f aca="false">-ROUND(H245*I245,2)</f>
        <v>-0.22</v>
      </c>
      <c r="K245" s="15" t="n">
        <f aca="false">ROUND(J245-F245,2)</f>
        <v>0</v>
      </c>
      <c r="L245" s="4" t="str">
        <f aca="false">IF(ABS(K245)&lt;0.005,"OK",IF(ABS(K245)&lt;=0.11,"Rounding / minimum fee","REVIEW"))</f>
        <v>OK</v>
      </c>
    </row>
    <row r="246" customFormat="false" ht="15" hidden="false" customHeight="false" outlineLevel="0" collapsed="false">
      <c r="A246" s="18" t="n">
        <v>243</v>
      </c>
      <c r="B246" s="4" t="s">
        <v>334</v>
      </c>
      <c r="C246" s="4" t="s">
        <v>315</v>
      </c>
      <c r="D246" s="4" t="s">
        <v>611</v>
      </c>
      <c r="E246" s="4" t="s">
        <v>71</v>
      </c>
      <c r="F246" s="15" t="n">
        <v>-0.02</v>
      </c>
      <c r="G246" s="4" t="s">
        <v>368</v>
      </c>
      <c r="H246" s="30" t="n">
        <v>217.69</v>
      </c>
      <c r="I246" s="31" t="n">
        <v>0.0001</v>
      </c>
      <c r="J246" s="15" t="n">
        <f aca="false">-ROUND(H246*I246,2)</f>
        <v>-0.02</v>
      </c>
      <c r="K246" s="15" t="n">
        <f aca="false">ROUND(J246-F246,2)</f>
        <v>0</v>
      </c>
      <c r="L246" s="4" t="str">
        <f aca="false">IF(ABS(K246)&lt;0.005,"OK",IF(ABS(K246)&lt;=0.11,"Rounding / minimum fee","REVIEW"))</f>
        <v>OK</v>
      </c>
    </row>
    <row r="247" customFormat="false" ht="15" hidden="false" customHeight="false" outlineLevel="0" collapsed="false">
      <c r="A247" s="18" t="n">
        <v>244</v>
      </c>
      <c r="B247" s="4" t="s">
        <v>334</v>
      </c>
      <c r="C247" s="4" t="s">
        <v>315</v>
      </c>
      <c r="D247" s="4" t="s">
        <v>612</v>
      </c>
      <c r="E247" s="4" t="s">
        <v>71</v>
      </c>
      <c r="F247" s="15" t="n">
        <v>-36.4</v>
      </c>
      <c r="G247" s="4" t="s">
        <v>368</v>
      </c>
      <c r="H247" s="30" t="n">
        <v>242674.57</v>
      </c>
      <c r="I247" s="31" t="n">
        <v>0.00015</v>
      </c>
      <c r="J247" s="15" t="n">
        <f aca="false">-ROUND(H247*I247,2)</f>
        <v>-36.4</v>
      </c>
      <c r="K247" s="15" t="n">
        <f aca="false">ROUND(J247-F247,2)</f>
        <v>0</v>
      </c>
      <c r="L247" s="4" t="str">
        <f aca="false">IF(ABS(K247)&lt;0.005,"OK",IF(ABS(K247)&lt;=0.11,"Rounding / minimum fee","REVIEW"))</f>
        <v>OK</v>
      </c>
    </row>
    <row r="248" customFormat="false" ht="15" hidden="false" customHeight="false" outlineLevel="0" collapsed="false">
      <c r="A248" s="18" t="n">
        <v>245</v>
      </c>
      <c r="B248" s="4" t="s">
        <v>334</v>
      </c>
      <c r="C248" s="4" t="s">
        <v>315</v>
      </c>
      <c r="D248" s="4" t="s">
        <v>613</v>
      </c>
      <c r="E248" s="4" t="s">
        <v>71</v>
      </c>
      <c r="F248" s="15" t="n">
        <v>-0.49</v>
      </c>
      <c r="G248" s="4" t="s">
        <v>368</v>
      </c>
      <c r="H248" s="30" t="n">
        <v>3276.12</v>
      </c>
      <c r="I248" s="31" t="n">
        <v>0.00015</v>
      </c>
      <c r="J248" s="15" t="n">
        <f aca="false">-ROUND(H248*I248,2)</f>
        <v>-0.49</v>
      </c>
      <c r="K248" s="15" t="n">
        <f aca="false">ROUND(J248-F248,2)</f>
        <v>0</v>
      </c>
      <c r="L248" s="4" t="str">
        <f aca="false">IF(ABS(K248)&lt;0.005,"OK",IF(ABS(K248)&lt;=0.11,"Rounding / minimum fee","REVIEW"))</f>
        <v>OK</v>
      </c>
    </row>
    <row r="249" customFormat="false" ht="15" hidden="false" customHeight="false" outlineLevel="0" collapsed="false">
      <c r="A249" s="18" t="n">
        <v>246</v>
      </c>
      <c r="B249" s="4" t="s">
        <v>334</v>
      </c>
      <c r="C249" s="4" t="s">
        <v>315</v>
      </c>
      <c r="D249" s="4" t="s">
        <v>614</v>
      </c>
      <c r="E249" s="4" t="s">
        <v>71</v>
      </c>
      <c r="F249" s="15" t="n">
        <v>-0.04</v>
      </c>
      <c r="G249" s="4" t="s">
        <v>376</v>
      </c>
      <c r="H249" s="30" t="n">
        <v>20</v>
      </c>
      <c r="I249" s="31" t="n">
        <v>0.002</v>
      </c>
      <c r="J249" s="15" t="n">
        <f aca="false">-ROUND(H249*I249,2)</f>
        <v>-0.04</v>
      </c>
      <c r="K249" s="15" t="n">
        <f aca="false">ROUND(J249-F249,2)</f>
        <v>0</v>
      </c>
      <c r="L249" s="4" t="str">
        <f aca="false">IF(ABS(K249)&lt;0.005,"OK",IF(ABS(K249)&lt;=0.11,"Rounding / minimum fee","REVIEW"))</f>
        <v>OK</v>
      </c>
    </row>
    <row r="250" customFormat="false" ht="15" hidden="false" customHeight="false" outlineLevel="0" collapsed="false">
      <c r="A250" s="18" t="n">
        <v>247</v>
      </c>
      <c r="B250" s="4" t="s">
        <v>334</v>
      </c>
      <c r="C250" s="4" t="s">
        <v>315</v>
      </c>
      <c r="D250" s="4" t="s">
        <v>615</v>
      </c>
      <c r="E250" s="4" t="s">
        <v>71</v>
      </c>
      <c r="F250" s="15" t="n">
        <v>-0.43</v>
      </c>
      <c r="G250" s="4" t="s">
        <v>376</v>
      </c>
      <c r="H250" s="30" t="n">
        <v>43</v>
      </c>
      <c r="I250" s="31" t="n">
        <v>0.01</v>
      </c>
      <c r="J250" s="15" t="n">
        <f aca="false">-ROUND(H250*I250,2)</f>
        <v>-0.43</v>
      </c>
      <c r="K250" s="15" t="n">
        <f aca="false">ROUND(J250-F250,2)</f>
        <v>0</v>
      </c>
      <c r="L250" s="4" t="str">
        <f aca="false">IF(ABS(K250)&lt;0.005,"OK",IF(ABS(K250)&lt;=0.11,"Rounding / minimum fee","REVIEW"))</f>
        <v>OK</v>
      </c>
    </row>
    <row r="251" customFormat="false" ht="15" hidden="false" customHeight="false" outlineLevel="0" collapsed="false">
      <c r="A251" s="18" t="n">
        <v>248</v>
      </c>
      <c r="B251" s="4" t="s">
        <v>334</v>
      </c>
      <c r="C251" s="4" t="s">
        <v>315</v>
      </c>
      <c r="D251" s="4" t="s">
        <v>616</v>
      </c>
      <c r="E251" s="4" t="s">
        <v>71</v>
      </c>
      <c r="F251" s="15" t="n">
        <v>-558.1</v>
      </c>
      <c r="G251" s="4" t="s">
        <v>376</v>
      </c>
      <c r="H251" s="30" t="n">
        <v>5581</v>
      </c>
      <c r="I251" s="31" t="n">
        <v>0.1</v>
      </c>
      <c r="J251" s="15" t="n">
        <f aca="false">-ROUND(H251*I251,2)</f>
        <v>-558.1</v>
      </c>
      <c r="K251" s="15" t="n">
        <f aca="false">ROUND(J251-F251,2)</f>
        <v>0</v>
      </c>
      <c r="L251" s="4" t="str">
        <f aca="false">IF(ABS(K251)&lt;0.005,"OK",IF(ABS(K251)&lt;=0.11,"Rounding / minimum fee","REVIEW"))</f>
        <v>OK</v>
      </c>
    </row>
    <row r="252" customFormat="false" ht="15" hidden="false" customHeight="false" outlineLevel="0" collapsed="false">
      <c r="A252" s="18" t="n">
        <v>249</v>
      </c>
      <c r="B252" s="4" t="s">
        <v>334</v>
      </c>
      <c r="C252" s="4" t="s">
        <v>315</v>
      </c>
      <c r="D252" s="4" t="s">
        <v>617</v>
      </c>
      <c r="E252" s="4" t="s">
        <v>71</v>
      </c>
      <c r="F252" s="15" t="n">
        <v>-0.24</v>
      </c>
      <c r="G252" s="4" t="s">
        <v>376</v>
      </c>
      <c r="H252" s="30" t="n">
        <v>24</v>
      </c>
      <c r="I252" s="31" t="n">
        <v>0.01</v>
      </c>
      <c r="J252" s="15" t="n">
        <f aca="false">-ROUND(H252*I252,2)</f>
        <v>-0.24</v>
      </c>
      <c r="K252" s="15" t="n">
        <f aca="false">ROUND(J252-F252,2)</f>
        <v>0</v>
      </c>
      <c r="L252" s="4" t="str">
        <f aca="false">IF(ABS(K252)&lt;0.005,"OK",IF(ABS(K252)&lt;=0.11,"Rounding / minimum fee","REVIEW"))</f>
        <v>OK</v>
      </c>
    </row>
    <row r="253" customFormat="false" ht="15" hidden="false" customHeight="false" outlineLevel="0" collapsed="false">
      <c r="A253" s="18" t="n">
        <v>250</v>
      </c>
      <c r="B253" s="4" t="s">
        <v>334</v>
      </c>
      <c r="C253" s="4" t="s">
        <v>315</v>
      </c>
      <c r="D253" s="4" t="s">
        <v>618</v>
      </c>
      <c r="E253" s="4" t="s">
        <v>71</v>
      </c>
      <c r="F253" s="15" t="n">
        <v>-0.14</v>
      </c>
      <c r="G253" s="4" t="s">
        <v>368</v>
      </c>
      <c r="H253" s="30" t="n">
        <v>1386.8</v>
      </c>
      <c r="I253" s="31" t="n">
        <v>0.0001</v>
      </c>
      <c r="J253" s="15" t="n">
        <f aca="false">-ROUND(H253*I253,2)</f>
        <v>-0.14</v>
      </c>
      <c r="K253" s="15" t="n">
        <f aca="false">ROUND(J253-F253,2)</f>
        <v>0</v>
      </c>
      <c r="L253" s="4" t="str">
        <f aca="false">IF(ABS(K253)&lt;0.005,"OK",IF(ABS(K253)&lt;=0.11,"Rounding / minimum fee","REVIEW"))</f>
        <v>OK</v>
      </c>
    </row>
    <row r="254" customFormat="false" ht="15" hidden="false" customHeight="false" outlineLevel="0" collapsed="false">
      <c r="A254" s="18" t="n">
        <v>251</v>
      </c>
      <c r="B254" s="4" t="s">
        <v>334</v>
      </c>
      <c r="C254" s="4" t="s">
        <v>315</v>
      </c>
      <c r="D254" s="4" t="s">
        <v>619</v>
      </c>
      <c r="E254" s="4" t="s">
        <v>71</v>
      </c>
      <c r="F254" s="15" t="n">
        <v>-0.6</v>
      </c>
      <c r="G254" s="4" t="s">
        <v>368</v>
      </c>
      <c r="H254" s="30" t="n">
        <v>6011.8</v>
      </c>
      <c r="I254" s="31" t="n">
        <v>0.0001</v>
      </c>
      <c r="J254" s="15" t="n">
        <f aca="false">-ROUND(H254*I254,2)</f>
        <v>-0.6</v>
      </c>
      <c r="K254" s="15" t="n">
        <f aca="false">ROUND(J254-F254,2)</f>
        <v>0</v>
      </c>
      <c r="L254" s="4" t="str">
        <f aca="false">IF(ABS(K254)&lt;0.005,"OK",IF(ABS(K254)&lt;=0.11,"Rounding / minimum fee","REVIEW"))</f>
        <v>OK</v>
      </c>
    </row>
    <row r="255" customFormat="false" ht="15" hidden="false" customHeight="false" outlineLevel="0" collapsed="false">
      <c r="A255" s="18" t="n">
        <v>252</v>
      </c>
      <c r="B255" s="4" t="s">
        <v>334</v>
      </c>
      <c r="C255" s="4" t="s">
        <v>315</v>
      </c>
      <c r="D255" s="4" t="s">
        <v>620</v>
      </c>
      <c r="E255" s="4" t="s">
        <v>71</v>
      </c>
      <c r="F255" s="15" t="n">
        <v>-0.26</v>
      </c>
      <c r="G255" s="4" t="s">
        <v>376</v>
      </c>
      <c r="H255" s="30" t="n">
        <v>26</v>
      </c>
      <c r="I255" s="31" t="n">
        <v>0.01</v>
      </c>
      <c r="J255" s="15" t="n">
        <f aca="false">-ROUND(H255*I255,2)</f>
        <v>-0.26</v>
      </c>
      <c r="K255" s="15" t="n">
        <f aca="false">ROUND(J255-F255,2)</f>
        <v>0</v>
      </c>
      <c r="L255" s="4" t="str">
        <f aca="false">IF(ABS(K255)&lt;0.005,"OK",IF(ABS(K255)&lt;=0.11,"Rounding / minimum fee","REVIEW"))</f>
        <v>OK</v>
      </c>
    </row>
    <row r="256" customFormat="false" ht="15" hidden="false" customHeight="false" outlineLevel="0" collapsed="false">
      <c r="A256" s="18" t="n">
        <v>253</v>
      </c>
      <c r="B256" s="4" t="s">
        <v>334</v>
      </c>
      <c r="C256" s="4" t="s">
        <v>315</v>
      </c>
      <c r="D256" s="4" t="s">
        <v>621</v>
      </c>
      <c r="E256" s="4" t="s">
        <v>71</v>
      </c>
      <c r="F256" s="15" t="n">
        <v>-0.01</v>
      </c>
      <c r="G256" s="4" t="s">
        <v>368</v>
      </c>
      <c r="H256" s="30" t="n">
        <v>51.02</v>
      </c>
      <c r="I256" s="31" t="n">
        <v>0.0001</v>
      </c>
      <c r="J256" s="15" t="n">
        <f aca="false">-ROUND(H256*I256,2)</f>
        <v>-0.01</v>
      </c>
      <c r="K256" s="15" t="n">
        <f aca="false">ROUND(J256-F256,2)</f>
        <v>0</v>
      </c>
      <c r="L256" s="4" t="str">
        <f aca="false">IF(ABS(K256)&lt;0.005,"OK",IF(ABS(K256)&lt;=0.11,"Rounding / minimum fee","REVIEW"))</f>
        <v>OK</v>
      </c>
    </row>
    <row r="257" customFormat="false" ht="15" hidden="false" customHeight="false" outlineLevel="0" collapsed="false">
      <c r="A257" s="18" t="n">
        <v>254</v>
      </c>
      <c r="B257" s="4" t="s">
        <v>334</v>
      </c>
      <c r="C257" s="4" t="s">
        <v>315</v>
      </c>
      <c r="D257" s="4" t="s">
        <v>622</v>
      </c>
      <c r="E257" s="4" t="s">
        <v>71</v>
      </c>
      <c r="F257" s="15" t="n">
        <v>-35.57</v>
      </c>
      <c r="G257" s="4" t="s">
        <v>368</v>
      </c>
      <c r="H257" s="30" t="n">
        <v>237165.21</v>
      </c>
      <c r="I257" s="31" t="n">
        <v>0.00015</v>
      </c>
      <c r="J257" s="15" t="n">
        <f aca="false">-ROUND(H257*I257,2)</f>
        <v>-35.57</v>
      </c>
      <c r="K257" s="15" t="n">
        <f aca="false">ROUND(J257-F257,2)</f>
        <v>0</v>
      </c>
      <c r="L257" s="4" t="str">
        <f aca="false">IF(ABS(K257)&lt;0.005,"OK",IF(ABS(K257)&lt;=0.11,"Rounding / minimum fee","REVIEW"))</f>
        <v>OK</v>
      </c>
    </row>
    <row r="258" customFormat="false" ht="15" hidden="false" customHeight="false" outlineLevel="0" collapsed="false">
      <c r="A258" s="18" t="n">
        <v>255</v>
      </c>
      <c r="B258" s="4" t="s">
        <v>334</v>
      </c>
      <c r="C258" s="4" t="s">
        <v>315</v>
      </c>
      <c r="D258" s="4" t="s">
        <v>623</v>
      </c>
      <c r="E258" s="4" t="s">
        <v>71</v>
      </c>
      <c r="F258" s="15" t="n">
        <v>-20.45</v>
      </c>
      <c r="G258" s="4" t="s">
        <v>368</v>
      </c>
      <c r="H258" s="30" t="n">
        <v>136366.61</v>
      </c>
      <c r="I258" s="31" t="n">
        <v>0.00015</v>
      </c>
      <c r="J258" s="15" t="n">
        <f aca="false">-ROUND(H258*I258,2)</f>
        <v>-20.45</v>
      </c>
      <c r="K258" s="15" t="n">
        <f aca="false">ROUND(J258-F258,2)</f>
        <v>0</v>
      </c>
      <c r="L258" s="4" t="str">
        <f aca="false">IF(ABS(K258)&lt;0.005,"OK",IF(ABS(K258)&lt;=0.11,"Rounding / minimum fee","REVIEW"))</f>
        <v>OK</v>
      </c>
    </row>
    <row r="259" customFormat="false" ht="15" hidden="false" customHeight="false" outlineLevel="0" collapsed="false">
      <c r="A259" s="18" t="n">
        <v>256</v>
      </c>
      <c r="B259" s="4" t="s">
        <v>334</v>
      </c>
      <c r="C259" s="4" t="s">
        <v>315</v>
      </c>
      <c r="D259" s="4" t="s">
        <v>624</v>
      </c>
      <c r="E259" s="4" t="s">
        <v>71</v>
      </c>
      <c r="F259" s="15" t="n">
        <v>-0.43</v>
      </c>
      <c r="G259" s="4" t="s">
        <v>368</v>
      </c>
      <c r="H259" s="30" t="n">
        <v>1230.44</v>
      </c>
      <c r="I259" s="31" t="n">
        <v>0.00035</v>
      </c>
      <c r="J259" s="15" t="n">
        <f aca="false">-ROUND(H259*I259,2)</f>
        <v>-0.43</v>
      </c>
      <c r="K259" s="15" t="n">
        <f aca="false">ROUND(J259-F259,2)</f>
        <v>0</v>
      </c>
      <c r="L259" s="4" t="str">
        <f aca="false">IF(ABS(K259)&lt;0.005,"OK",IF(ABS(K259)&lt;=0.11,"Rounding / minimum fee","REVIEW"))</f>
        <v>OK</v>
      </c>
    </row>
    <row r="260" customFormat="false" ht="15" hidden="false" customHeight="false" outlineLevel="0" collapsed="false">
      <c r="A260" s="18" t="n">
        <v>257</v>
      </c>
      <c r="B260" s="4" t="s">
        <v>334</v>
      </c>
      <c r="C260" s="4" t="s">
        <v>315</v>
      </c>
      <c r="D260" s="4" t="s">
        <v>625</v>
      </c>
      <c r="E260" s="4" t="s">
        <v>322</v>
      </c>
      <c r="F260" s="15" t="n">
        <v>-2374.66</v>
      </c>
      <c r="G260" s="4" t="s">
        <v>368</v>
      </c>
      <c r="H260" s="30" t="n">
        <v>1826627.84</v>
      </c>
      <c r="I260" s="31" t="n">
        <v>0.0013</v>
      </c>
      <c r="J260" s="15" t="n">
        <f aca="false">-ROUND(H260*I260,2)</f>
        <v>-2374.62</v>
      </c>
      <c r="K260" s="15" t="n">
        <f aca="false">ROUND(J260-F260,2)</f>
        <v>0.04</v>
      </c>
      <c r="L260" s="4" t="str">
        <f aca="false">IF(ABS(K260)&lt;0.005,"OK",IF(ABS(K260)&lt;=0.11,"Rounding / minimum fee","REVIEW"))</f>
        <v>Rounding / minimum fee</v>
      </c>
      <c r="M260" s="4" t="s">
        <v>496</v>
      </c>
    </row>
    <row r="261" customFormat="false" ht="15" hidden="false" customHeight="false" outlineLevel="0" collapsed="false">
      <c r="A261" s="18" t="n">
        <v>258</v>
      </c>
      <c r="B261" s="4" t="s">
        <v>334</v>
      </c>
      <c r="C261" s="4" t="s">
        <v>315</v>
      </c>
      <c r="D261" s="4" t="s">
        <v>626</v>
      </c>
      <c r="E261" s="4" t="s">
        <v>71</v>
      </c>
      <c r="F261" s="15" t="n">
        <v>-10.96</v>
      </c>
      <c r="G261" s="4" t="s">
        <v>368</v>
      </c>
      <c r="H261" s="30" t="n">
        <v>73036.5</v>
      </c>
      <c r="I261" s="31" t="n">
        <v>0.00015</v>
      </c>
      <c r="J261" s="15" t="n">
        <f aca="false">-ROUND(H261*I261,2)</f>
        <v>-10.96</v>
      </c>
      <c r="K261" s="15" t="n">
        <f aca="false">ROUND(J261-F261,2)</f>
        <v>0</v>
      </c>
      <c r="L261" s="4" t="str">
        <f aca="false">IF(ABS(K261)&lt;0.005,"OK",IF(ABS(K261)&lt;=0.11,"Rounding / minimum fee","REVIEW"))</f>
        <v>OK</v>
      </c>
    </row>
    <row r="262" customFormat="false" ht="15" hidden="false" customHeight="false" outlineLevel="0" collapsed="false">
      <c r="A262" s="18" t="n">
        <v>259</v>
      </c>
      <c r="B262" s="4" t="s">
        <v>334</v>
      </c>
      <c r="C262" s="4" t="s">
        <v>315</v>
      </c>
      <c r="D262" s="4" t="s">
        <v>627</v>
      </c>
      <c r="E262" s="4" t="s">
        <v>71</v>
      </c>
      <c r="F262" s="15" t="n">
        <v>-53.76</v>
      </c>
      <c r="G262" s="4" t="s">
        <v>368</v>
      </c>
      <c r="H262" s="30" t="n">
        <v>358377.15</v>
      </c>
      <c r="I262" s="31" t="n">
        <v>0.00015</v>
      </c>
      <c r="J262" s="15" t="n">
        <f aca="false">-ROUND(H262*I262,2)</f>
        <v>-53.76</v>
      </c>
      <c r="K262" s="15" t="n">
        <f aca="false">ROUND(J262-F262,2)</f>
        <v>0</v>
      </c>
      <c r="L262" s="4" t="str">
        <f aca="false">IF(ABS(K262)&lt;0.005,"OK",IF(ABS(K262)&lt;=0.11,"Rounding / minimum fee","REVIEW"))</f>
        <v>OK</v>
      </c>
    </row>
    <row r="263" customFormat="false" ht="15" hidden="false" customHeight="false" outlineLevel="0" collapsed="false">
      <c r="A263" s="18" t="n">
        <v>260</v>
      </c>
      <c r="B263" s="4" t="s">
        <v>334</v>
      </c>
      <c r="C263" s="4" t="s">
        <v>315</v>
      </c>
      <c r="D263" s="4" t="s">
        <v>628</v>
      </c>
      <c r="E263" s="4" t="s">
        <v>71</v>
      </c>
      <c r="F263" s="15" t="n">
        <v>-8.52</v>
      </c>
      <c r="G263" s="4" t="s">
        <v>368</v>
      </c>
      <c r="H263" s="30" t="n">
        <v>56787.05</v>
      </c>
      <c r="I263" s="31" t="n">
        <v>0.00015</v>
      </c>
      <c r="J263" s="15" t="n">
        <f aca="false">-ROUND(H263*I263,2)</f>
        <v>-8.52</v>
      </c>
      <c r="K263" s="15" t="n">
        <f aca="false">ROUND(J263-F263,2)</f>
        <v>0</v>
      </c>
      <c r="L263" s="4" t="str">
        <f aca="false">IF(ABS(K263)&lt;0.005,"OK",IF(ABS(K263)&lt;=0.11,"Rounding / minimum fee","REVIEW"))</f>
        <v>OK</v>
      </c>
    </row>
    <row r="264" customFormat="false" ht="15" hidden="false" customHeight="false" outlineLevel="0" collapsed="false">
      <c r="A264" s="18" t="n">
        <v>261</v>
      </c>
      <c r="B264" s="4" t="s">
        <v>334</v>
      </c>
      <c r="C264" s="4" t="s">
        <v>315</v>
      </c>
      <c r="D264" s="4" t="s">
        <v>629</v>
      </c>
      <c r="E264" s="4" t="s">
        <v>71</v>
      </c>
      <c r="F264" s="15" t="n">
        <v>-26.42</v>
      </c>
      <c r="G264" s="4" t="s">
        <v>368</v>
      </c>
      <c r="H264" s="30" t="n">
        <v>176155.78</v>
      </c>
      <c r="I264" s="31" t="n">
        <v>0.00015</v>
      </c>
      <c r="J264" s="15" t="n">
        <f aca="false">-ROUND(H264*I264,2)</f>
        <v>-26.42</v>
      </c>
      <c r="K264" s="15" t="n">
        <f aca="false">ROUND(J264-F264,2)</f>
        <v>0</v>
      </c>
      <c r="L264" s="4" t="str">
        <f aca="false">IF(ABS(K264)&lt;0.005,"OK",IF(ABS(K264)&lt;=0.11,"Rounding / minimum fee","REVIEW"))</f>
        <v>OK</v>
      </c>
    </row>
    <row r="265" customFormat="false" ht="15" hidden="false" customHeight="false" outlineLevel="0" collapsed="false">
      <c r="A265" s="18" t="n">
        <v>262</v>
      </c>
      <c r="B265" s="4" t="s">
        <v>334</v>
      </c>
      <c r="C265" s="4" t="s">
        <v>315</v>
      </c>
      <c r="D265" s="4" t="s">
        <v>630</v>
      </c>
      <c r="E265" s="4" t="s">
        <v>322</v>
      </c>
      <c r="F265" s="15" t="n">
        <v>-127.41</v>
      </c>
    </row>
    <row r="266" customFormat="false" ht="15" hidden="false" customHeight="false" outlineLevel="0" collapsed="false">
      <c r="A266" s="18" t="n">
        <v>263</v>
      </c>
      <c r="B266" s="4" t="s">
        <v>334</v>
      </c>
      <c r="C266" s="4" t="s">
        <v>315</v>
      </c>
      <c r="D266" s="4" t="s">
        <v>631</v>
      </c>
      <c r="E266" s="4" t="s">
        <v>322</v>
      </c>
      <c r="F266" s="15" t="n">
        <v>-139.39</v>
      </c>
    </row>
    <row r="267" customFormat="false" ht="15" hidden="false" customHeight="false" outlineLevel="0" collapsed="false">
      <c r="A267" s="18" t="n">
        <v>264</v>
      </c>
      <c r="B267" s="4" t="s">
        <v>334</v>
      </c>
      <c r="C267" s="4" t="s">
        <v>315</v>
      </c>
      <c r="D267" s="4" t="s">
        <v>632</v>
      </c>
      <c r="E267" s="4" t="s">
        <v>322</v>
      </c>
      <c r="F267" s="15" t="n">
        <v>-30.31</v>
      </c>
    </row>
    <row r="268" customFormat="false" ht="15" hidden="false" customHeight="false" outlineLevel="0" collapsed="false">
      <c r="A268" s="18" t="n">
        <v>265</v>
      </c>
      <c r="B268" s="4" t="s">
        <v>334</v>
      </c>
      <c r="C268" s="4" t="s">
        <v>315</v>
      </c>
      <c r="D268" s="4" t="s">
        <v>633</v>
      </c>
      <c r="E268" s="4" t="s">
        <v>322</v>
      </c>
      <c r="F268" s="15" t="n">
        <v>-310.43</v>
      </c>
    </row>
    <row r="269" customFormat="false" ht="15" hidden="false" customHeight="false" outlineLevel="0" collapsed="false">
      <c r="A269" s="18" t="n">
        <v>266</v>
      </c>
      <c r="B269" s="4" t="s">
        <v>334</v>
      </c>
      <c r="C269" s="4" t="s">
        <v>315</v>
      </c>
      <c r="D269" s="4" t="s">
        <v>634</v>
      </c>
      <c r="E269" s="4" t="s">
        <v>322</v>
      </c>
      <c r="F269" s="15" t="n">
        <v>-597.98</v>
      </c>
    </row>
    <row r="270" customFormat="false" ht="15" hidden="false" customHeight="false" outlineLevel="0" collapsed="false">
      <c r="A270" s="18" t="n">
        <v>267</v>
      </c>
      <c r="B270" s="4" t="s">
        <v>334</v>
      </c>
      <c r="C270" s="4" t="s">
        <v>315</v>
      </c>
      <c r="D270" s="4" t="s">
        <v>635</v>
      </c>
      <c r="E270" s="4" t="s">
        <v>322</v>
      </c>
      <c r="F270" s="15" t="n">
        <v>-789.36</v>
      </c>
    </row>
    <row r="271" customFormat="false" ht="15" hidden="false" customHeight="false" outlineLevel="0" collapsed="false">
      <c r="A271" s="18" t="n">
        <v>268</v>
      </c>
      <c r="B271" s="4" t="s">
        <v>334</v>
      </c>
      <c r="C271" s="4" t="s">
        <v>315</v>
      </c>
      <c r="D271" s="4" t="s">
        <v>636</v>
      </c>
      <c r="E271" s="4" t="s">
        <v>322</v>
      </c>
      <c r="F271" s="15" t="n">
        <v>-126.41</v>
      </c>
    </row>
    <row r="272" customFormat="false" ht="15" hidden="false" customHeight="false" outlineLevel="0" collapsed="false">
      <c r="A272" s="18" t="n">
        <v>269</v>
      </c>
      <c r="B272" s="4" t="s">
        <v>334</v>
      </c>
      <c r="C272" s="4" t="s">
        <v>315</v>
      </c>
      <c r="D272" s="4" t="s">
        <v>637</v>
      </c>
      <c r="E272" s="4" t="s">
        <v>322</v>
      </c>
      <c r="F272" s="15" t="n">
        <v>-285.96</v>
      </c>
    </row>
    <row r="273" customFormat="false" ht="15" hidden="false" customHeight="false" outlineLevel="0" collapsed="false">
      <c r="A273" s="18" t="n">
        <v>270</v>
      </c>
      <c r="B273" s="4" t="s">
        <v>334</v>
      </c>
      <c r="C273" s="4" t="s">
        <v>315</v>
      </c>
      <c r="D273" s="4" t="s">
        <v>638</v>
      </c>
      <c r="E273" s="4" t="s">
        <v>322</v>
      </c>
      <c r="F273" s="15" t="n">
        <v>-151.61</v>
      </c>
    </row>
    <row r="274" customFormat="false" ht="15" hidden="false" customHeight="false" outlineLevel="0" collapsed="false">
      <c r="A274" s="18" t="n">
        <v>271</v>
      </c>
      <c r="B274" s="4" t="s">
        <v>334</v>
      </c>
      <c r="C274" s="4" t="s">
        <v>315</v>
      </c>
      <c r="D274" s="4" t="s">
        <v>639</v>
      </c>
      <c r="E274" s="4" t="s">
        <v>322</v>
      </c>
      <c r="F274" s="15" t="n">
        <v>-0.38</v>
      </c>
    </row>
    <row r="275" customFormat="false" ht="15" hidden="false" customHeight="false" outlineLevel="0" collapsed="false">
      <c r="A275" s="18" t="n">
        <v>272</v>
      </c>
      <c r="B275" s="4" t="s">
        <v>334</v>
      </c>
      <c r="C275" s="4" t="s">
        <v>315</v>
      </c>
      <c r="D275" s="4" t="s">
        <v>640</v>
      </c>
      <c r="E275" s="4" t="s">
        <v>322</v>
      </c>
      <c r="F275" s="15" t="n">
        <v>-85.96</v>
      </c>
    </row>
    <row r="276" customFormat="false" ht="15" hidden="false" customHeight="false" outlineLevel="0" collapsed="false">
      <c r="A276" s="18" t="n">
        <v>273</v>
      </c>
      <c r="B276" s="4" t="s">
        <v>334</v>
      </c>
      <c r="C276" s="4" t="s">
        <v>315</v>
      </c>
      <c r="D276" s="4" t="s">
        <v>641</v>
      </c>
      <c r="E276" s="4" t="s">
        <v>322</v>
      </c>
      <c r="F276" s="15" t="n">
        <v>-66.78</v>
      </c>
    </row>
    <row r="277" customFormat="false" ht="15" hidden="false" customHeight="false" outlineLevel="0" collapsed="false">
      <c r="A277" s="18" t="n">
        <v>274</v>
      </c>
      <c r="B277" s="4" t="s">
        <v>334</v>
      </c>
      <c r="C277" s="4" t="s">
        <v>315</v>
      </c>
      <c r="D277" s="4" t="s">
        <v>642</v>
      </c>
      <c r="E277" s="4" t="s">
        <v>322</v>
      </c>
      <c r="F277" s="15" t="n">
        <v>-982.33</v>
      </c>
    </row>
    <row r="278" customFormat="false" ht="15" hidden="false" customHeight="false" outlineLevel="0" collapsed="false">
      <c r="A278" s="18" t="n">
        <v>275</v>
      </c>
      <c r="B278" s="4" t="s">
        <v>334</v>
      </c>
      <c r="C278" s="4" t="s">
        <v>315</v>
      </c>
      <c r="D278" s="4" t="s">
        <v>643</v>
      </c>
      <c r="E278" s="4" t="s">
        <v>322</v>
      </c>
      <c r="F278" s="15" t="n">
        <v>-5302.98</v>
      </c>
    </row>
    <row r="279" customFormat="false" ht="15" hidden="false" customHeight="false" outlineLevel="0" collapsed="false">
      <c r="A279" s="18" t="n">
        <v>276</v>
      </c>
      <c r="B279" s="4" t="s">
        <v>334</v>
      </c>
      <c r="C279" s="4" t="s">
        <v>315</v>
      </c>
      <c r="D279" s="4" t="s">
        <v>644</v>
      </c>
      <c r="E279" s="4" t="s">
        <v>322</v>
      </c>
      <c r="F279" s="15" t="n">
        <v>-266.08</v>
      </c>
    </row>
    <row r="280" customFormat="false" ht="15" hidden="false" customHeight="false" outlineLevel="0" collapsed="false">
      <c r="A280" s="18" t="n">
        <v>277</v>
      </c>
      <c r="B280" s="4" t="s">
        <v>334</v>
      </c>
      <c r="C280" s="4" t="s">
        <v>315</v>
      </c>
      <c r="D280" s="4" t="s">
        <v>645</v>
      </c>
      <c r="E280" s="4" t="s">
        <v>322</v>
      </c>
      <c r="F280" s="15" t="n">
        <v>-4031.69</v>
      </c>
    </row>
    <row r="281" customFormat="false" ht="15" hidden="false" customHeight="false" outlineLevel="0" collapsed="false">
      <c r="A281" s="18" t="n">
        <v>278</v>
      </c>
      <c r="B281" s="4" t="s">
        <v>334</v>
      </c>
      <c r="C281" s="4" t="s">
        <v>315</v>
      </c>
      <c r="D281" s="4" t="s">
        <v>646</v>
      </c>
      <c r="E281" s="4" t="s">
        <v>322</v>
      </c>
      <c r="F281" s="15" t="n">
        <v>-1348.99</v>
      </c>
    </row>
    <row r="282" customFormat="false" ht="15" hidden="false" customHeight="false" outlineLevel="0" collapsed="false">
      <c r="A282" s="18" t="n">
        <v>279</v>
      </c>
      <c r="B282" s="4" t="s">
        <v>334</v>
      </c>
      <c r="C282" s="4" t="s">
        <v>315</v>
      </c>
      <c r="D282" s="4" t="s">
        <v>647</v>
      </c>
      <c r="E282" s="4" t="s">
        <v>322</v>
      </c>
      <c r="F282" s="15" t="n">
        <v>-0.13</v>
      </c>
    </row>
    <row r="283" customFormat="false" ht="15" hidden="false" customHeight="false" outlineLevel="0" collapsed="false">
      <c r="A283" s="18" t="n">
        <v>280</v>
      </c>
      <c r="B283" s="4" t="s">
        <v>334</v>
      </c>
      <c r="C283" s="4" t="s">
        <v>315</v>
      </c>
      <c r="D283" s="4" t="s">
        <v>648</v>
      </c>
      <c r="E283" s="4" t="s">
        <v>322</v>
      </c>
      <c r="F283" s="15" t="n">
        <v>-525.78</v>
      </c>
    </row>
    <row r="284" customFormat="false" ht="15" hidden="false" customHeight="false" outlineLevel="0" collapsed="false">
      <c r="A284" s="18" t="n">
        <v>281</v>
      </c>
      <c r="B284" s="4" t="s">
        <v>334</v>
      </c>
      <c r="C284" s="4" t="s">
        <v>315</v>
      </c>
      <c r="D284" s="4" t="s">
        <v>649</v>
      </c>
      <c r="E284" s="4" t="s">
        <v>322</v>
      </c>
      <c r="F284" s="15" t="n">
        <v>-5612.99</v>
      </c>
    </row>
    <row r="285" customFormat="false" ht="15" hidden="false" customHeight="false" outlineLevel="0" collapsed="false">
      <c r="A285" s="18" t="n">
        <v>282</v>
      </c>
      <c r="B285" s="4" t="s">
        <v>334</v>
      </c>
      <c r="C285" s="4" t="s">
        <v>315</v>
      </c>
      <c r="D285" s="4" t="s">
        <v>650</v>
      </c>
      <c r="E285" s="4" t="s">
        <v>322</v>
      </c>
      <c r="F285" s="15" t="n">
        <v>-164.34</v>
      </c>
    </row>
    <row r="286" customFormat="false" ht="15" hidden="false" customHeight="false" outlineLevel="0" collapsed="false">
      <c r="A286" s="18" t="n">
        <v>283</v>
      </c>
      <c r="B286" s="4" t="s">
        <v>334</v>
      </c>
      <c r="C286" s="4" t="s">
        <v>315</v>
      </c>
      <c r="D286" s="4" t="s">
        <v>651</v>
      </c>
      <c r="E286" s="4" t="s">
        <v>322</v>
      </c>
      <c r="F286" s="15" t="n">
        <v>-501.53</v>
      </c>
    </row>
    <row r="287" customFormat="false" ht="15" hidden="false" customHeight="false" outlineLevel="0" collapsed="false">
      <c r="A287" s="18" t="n">
        <v>284</v>
      </c>
      <c r="B287" s="4" t="s">
        <v>334</v>
      </c>
      <c r="C287" s="4" t="s">
        <v>315</v>
      </c>
      <c r="D287" s="4" t="s">
        <v>652</v>
      </c>
      <c r="E287" s="4" t="s">
        <v>322</v>
      </c>
      <c r="F287" s="15" t="n">
        <v>-900.64</v>
      </c>
    </row>
    <row r="288" customFormat="false" ht="15" hidden="false" customHeight="false" outlineLevel="0" collapsed="false">
      <c r="A288" s="18" t="n">
        <v>285</v>
      </c>
      <c r="B288" s="4" t="s">
        <v>334</v>
      </c>
      <c r="C288" s="4" t="s">
        <v>315</v>
      </c>
      <c r="D288" s="4" t="s">
        <v>653</v>
      </c>
      <c r="E288" s="4" t="s">
        <v>322</v>
      </c>
      <c r="F288" s="15" t="n">
        <v>-293</v>
      </c>
    </row>
    <row r="289" customFormat="false" ht="15" hidden="false" customHeight="false" outlineLevel="0" collapsed="false">
      <c r="A289" s="18" t="n">
        <v>286</v>
      </c>
      <c r="B289" s="4" t="s">
        <v>334</v>
      </c>
      <c r="C289" s="4" t="s">
        <v>315</v>
      </c>
      <c r="D289" s="4" t="s">
        <v>654</v>
      </c>
      <c r="E289" s="4" t="s">
        <v>322</v>
      </c>
      <c r="F289" s="15" t="n">
        <v>-131.35</v>
      </c>
    </row>
    <row r="290" customFormat="false" ht="15" hidden="false" customHeight="false" outlineLevel="0" collapsed="false">
      <c r="A290" s="18" t="n">
        <v>287</v>
      </c>
      <c r="B290" s="4" t="s">
        <v>334</v>
      </c>
      <c r="C290" s="4" t="s">
        <v>315</v>
      </c>
      <c r="D290" s="4" t="s">
        <v>655</v>
      </c>
      <c r="E290" s="4" t="s">
        <v>322</v>
      </c>
      <c r="F290" s="15" t="n">
        <v>-21.18</v>
      </c>
    </row>
    <row r="291" customFormat="false" ht="15" hidden="false" customHeight="false" outlineLevel="0" collapsed="false">
      <c r="A291" s="18" t="n">
        <v>288</v>
      </c>
      <c r="B291" s="4" t="s">
        <v>334</v>
      </c>
      <c r="C291" s="4" t="s">
        <v>315</v>
      </c>
      <c r="D291" s="4" t="s">
        <v>656</v>
      </c>
      <c r="E291" s="4" t="s">
        <v>322</v>
      </c>
      <c r="F291" s="15" t="n">
        <v>-270.54</v>
      </c>
    </row>
    <row r="292" customFormat="false" ht="15" hidden="false" customHeight="false" outlineLevel="0" collapsed="false">
      <c r="A292" s="18" t="n">
        <v>289</v>
      </c>
      <c r="B292" s="4" t="s">
        <v>334</v>
      </c>
      <c r="C292" s="4" t="s">
        <v>315</v>
      </c>
      <c r="D292" s="4" t="s">
        <v>657</v>
      </c>
      <c r="E292" s="4" t="s">
        <v>322</v>
      </c>
      <c r="F292" s="15" t="n">
        <v>-5943.62</v>
      </c>
    </row>
    <row r="293" customFormat="false" ht="15" hidden="false" customHeight="false" outlineLevel="0" collapsed="false">
      <c r="A293" s="18" t="n">
        <v>290</v>
      </c>
      <c r="B293" s="4" t="s">
        <v>334</v>
      </c>
      <c r="C293" s="4" t="s">
        <v>315</v>
      </c>
      <c r="D293" s="4" t="s">
        <v>658</v>
      </c>
      <c r="E293" s="4" t="s">
        <v>322</v>
      </c>
      <c r="F293" s="15" t="n">
        <v>-168.65</v>
      </c>
    </row>
    <row r="294" customFormat="false" ht="15" hidden="false" customHeight="false" outlineLevel="0" collapsed="false">
      <c r="A294" s="18" t="n">
        <v>291</v>
      </c>
      <c r="B294" s="4" t="s">
        <v>334</v>
      </c>
      <c r="C294" s="4" t="s">
        <v>315</v>
      </c>
      <c r="D294" s="4" t="s">
        <v>659</v>
      </c>
      <c r="E294" s="4" t="s">
        <v>322</v>
      </c>
      <c r="F294" s="15" t="n">
        <v>-4.02</v>
      </c>
    </row>
    <row r="295" customFormat="false" ht="15" hidden="false" customHeight="false" outlineLevel="0" collapsed="false">
      <c r="A295" s="18" t="n">
        <v>292</v>
      </c>
      <c r="B295" s="4" t="s">
        <v>334</v>
      </c>
      <c r="C295" s="4" t="s">
        <v>315</v>
      </c>
      <c r="D295" s="4" t="s">
        <v>660</v>
      </c>
      <c r="E295" s="4" t="s">
        <v>322</v>
      </c>
      <c r="F295" s="15" t="n">
        <v>-11.69</v>
      </c>
    </row>
    <row r="296" customFormat="false" ht="15" hidden="false" customHeight="false" outlineLevel="0" collapsed="false">
      <c r="A296" s="18" t="n">
        <v>293</v>
      </c>
      <c r="B296" s="4" t="s">
        <v>334</v>
      </c>
      <c r="C296" s="4" t="s">
        <v>315</v>
      </c>
      <c r="D296" s="4" t="s">
        <v>661</v>
      </c>
      <c r="E296" s="4" t="s">
        <v>322</v>
      </c>
      <c r="F296" s="15" t="n">
        <v>-516.49</v>
      </c>
    </row>
    <row r="297" customFormat="false" ht="15" hidden="false" customHeight="false" outlineLevel="0" collapsed="false">
      <c r="A297" s="18" t="n">
        <v>294</v>
      </c>
      <c r="B297" s="4" t="s">
        <v>334</v>
      </c>
      <c r="C297" s="4" t="s">
        <v>315</v>
      </c>
      <c r="D297" s="4" t="s">
        <v>662</v>
      </c>
      <c r="E297" s="4" t="s">
        <v>322</v>
      </c>
      <c r="F297" s="15" t="n">
        <v>-135.31</v>
      </c>
    </row>
    <row r="298" customFormat="false" ht="15" hidden="false" customHeight="false" outlineLevel="0" collapsed="false">
      <c r="A298" s="18" t="n">
        <v>295</v>
      </c>
      <c r="B298" s="4" t="s">
        <v>334</v>
      </c>
      <c r="C298" s="4" t="s">
        <v>315</v>
      </c>
      <c r="D298" s="4" t="s">
        <v>663</v>
      </c>
      <c r="E298" s="4" t="s">
        <v>322</v>
      </c>
      <c r="F298" s="15" t="n">
        <v>-589.42</v>
      </c>
    </row>
    <row r="299" customFormat="false" ht="15" hidden="false" customHeight="false" outlineLevel="0" collapsed="false">
      <c r="A299" s="18" t="n">
        <v>296</v>
      </c>
      <c r="B299" s="4" t="s">
        <v>334</v>
      </c>
      <c r="C299" s="4" t="s">
        <v>315</v>
      </c>
      <c r="D299" s="4" t="s">
        <v>664</v>
      </c>
      <c r="E299" s="4" t="s">
        <v>322</v>
      </c>
      <c r="F299" s="15" t="n">
        <v>-31.89</v>
      </c>
    </row>
    <row r="300" customFormat="false" ht="15" hidden="false" customHeight="false" outlineLevel="0" collapsed="false">
      <c r="A300" s="18" t="n">
        <v>297</v>
      </c>
      <c r="B300" s="4" t="s">
        <v>334</v>
      </c>
      <c r="C300" s="4" t="s">
        <v>315</v>
      </c>
      <c r="D300" s="4" t="s">
        <v>665</v>
      </c>
      <c r="E300" s="4" t="s">
        <v>322</v>
      </c>
      <c r="F300" s="15" t="n">
        <v>-519.2</v>
      </c>
    </row>
    <row r="301" customFormat="false" ht="15" hidden="false" customHeight="false" outlineLevel="0" collapsed="false">
      <c r="A301" s="18" t="n">
        <v>298</v>
      </c>
      <c r="B301" s="4" t="s">
        <v>334</v>
      </c>
      <c r="C301" s="4" t="s">
        <v>315</v>
      </c>
      <c r="D301" s="4" t="s">
        <v>666</v>
      </c>
      <c r="E301" s="4" t="s">
        <v>322</v>
      </c>
      <c r="F301" s="15" t="n">
        <v>-236.16</v>
      </c>
    </row>
    <row r="302" customFormat="false" ht="15" hidden="false" customHeight="false" outlineLevel="0" collapsed="false">
      <c r="A302" s="18" t="n">
        <v>299</v>
      </c>
      <c r="B302" s="4" t="s">
        <v>334</v>
      </c>
      <c r="C302" s="4" t="s">
        <v>315</v>
      </c>
      <c r="D302" s="4" t="s">
        <v>667</v>
      </c>
      <c r="E302" s="4" t="s">
        <v>322</v>
      </c>
      <c r="F302" s="15" t="n">
        <v>-2875.94</v>
      </c>
    </row>
    <row r="303" customFormat="false" ht="15" hidden="false" customHeight="false" outlineLevel="0" collapsed="false">
      <c r="A303" s="18" t="n">
        <v>300</v>
      </c>
      <c r="B303" s="4" t="s">
        <v>334</v>
      </c>
      <c r="C303" s="4" t="s">
        <v>315</v>
      </c>
      <c r="D303" s="4" t="s">
        <v>668</v>
      </c>
      <c r="E303" s="4" t="s">
        <v>322</v>
      </c>
      <c r="F303" s="15" t="n">
        <v>-414</v>
      </c>
    </row>
    <row r="304" customFormat="false" ht="15" hidden="false" customHeight="false" outlineLevel="0" collapsed="false">
      <c r="A304" s="18" t="n">
        <v>301</v>
      </c>
      <c r="B304" s="4" t="s">
        <v>334</v>
      </c>
      <c r="C304" s="4" t="s">
        <v>315</v>
      </c>
      <c r="D304" s="4" t="s">
        <v>669</v>
      </c>
      <c r="E304" s="4" t="s">
        <v>322</v>
      </c>
      <c r="F304" s="15" t="n">
        <v>-51.81</v>
      </c>
    </row>
    <row r="305" customFormat="false" ht="15" hidden="false" customHeight="false" outlineLevel="0" collapsed="false">
      <c r="A305" s="18" t="n">
        <v>302</v>
      </c>
      <c r="B305" s="4" t="s">
        <v>334</v>
      </c>
      <c r="C305" s="4" t="s">
        <v>315</v>
      </c>
      <c r="D305" s="4" t="s">
        <v>670</v>
      </c>
      <c r="E305" s="4" t="s">
        <v>322</v>
      </c>
      <c r="F305" s="15" t="n">
        <v>-7.2</v>
      </c>
    </row>
    <row r="306" customFormat="false" ht="15" hidden="false" customHeight="false" outlineLevel="0" collapsed="false">
      <c r="A306" s="18" t="n">
        <v>303</v>
      </c>
      <c r="B306" s="4" t="s">
        <v>334</v>
      </c>
      <c r="C306" s="4" t="s">
        <v>315</v>
      </c>
      <c r="D306" s="4" t="s">
        <v>671</v>
      </c>
      <c r="E306" s="4" t="s">
        <v>322</v>
      </c>
      <c r="F306" s="15" t="n">
        <v>-699.45</v>
      </c>
    </row>
    <row r="307" customFormat="false" ht="15" hidden="false" customHeight="false" outlineLevel="0" collapsed="false">
      <c r="A307" s="18" t="n">
        <v>304</v>
      </c>
      <c r="B307" s="4" t="s">
        <v>334</v>
      </c>
      <c r="C307" s="4" t="s">
        <v>315</v>
      </c>
      <c r="D307" s="4" t="s">
        <v>672</v>
      </c>
      <c r="E307" s="4" t="s">
        <v>322</v>
      </c>
      <c r="F307" s="15" t="n">
        <v>-30.82</v>
      </c>
    </row>
    <row r="308" customFormat="false" ht="15" hidden="false" customHeight="false" outlineLevel="0" collapsed="false">
      <c r="A308" s="18" t="n">
        <v>305</v>
      </c>
      <c r="B308" s="4" t="s">
        <v>334</v>
      </c>
      <c r="C308" s="4" t="s">
        <v>315</v>
      </c>
      <c r="D308" s="4" t="s">
        <v>673</v>
      </c>
      <c r="E308" s="4" t="s">
        <v>322</v>
      </c>
      <c r="F308" s="15" t="n">
        <v>-190.92</v>
      </c>
    </row>
    <row r="309" customFormat="false" ht="15" hidden="false" customHeight="false" outlineLevel="0" collapsed="false">
      <c r="A309" s="18" t="n">
        <v>306</v>
      </c>
      <c r="B309" s="4" t="s">
        <v>334</v>
      </c>
      <c r="C309" s="4" t="s">
        <v>315</v>
      </c>
      <c r="D309" s="4" t="s">
        <v>674</v>
      </c>
      <c r="E309" s="4" t="s">
        <v>322</v>
      </c>
      <c r="F309" s="15" t="n">
        <v>-354.45</v>
      </c>
    </row>
    <row r="310" customFormat="false" ht="15" hidden="false" customHeight="false" outlineLevel="0" collapsed="false">
      <c r="A310" s="18" t="n">
        <v>307</v>
      </c>
      <c r="B310" s="4" t="s">
        <v>334</v>
      </c>
      <c r="C310" s="4" t="s">
        <v>315</v>
      </c>
      <c r="D310" s="4" t="s">
        <v>675</v>
      </c>
      <c r="E310" s="4" t="s">
        <v>322</v>
      </c>
      <c r="F310" s="15" t="n">
        <v>-358.79</v>
      </c>
    </row>
    <row r="311" customFormat="false" ht="15" hidden="false" customHeight="false" outlineLevel="0" collapsed="false">
      <c r="A311" s="18" t="n">
        <v>308</v>
      </c>
      <c r="B311" s="4" t="s">
        <v>334</v>
      </c>
      <c r="C311" s="4" t="s">
        <v>315</v>
      </c>
      <c r="D311" s="4" t="s">
        <v>651</v>
      </c>
      <c r="E311" s="4" t="s">
        <v>322</v>
      </c>
      <c r="F311" s="15" t="n">
        <v>-6880.79</v>
      </c>
    </row>
    <row r="312" customFormat="false" ht="15" hidden="false" customHeight="false" outlineLevel="0" collapsed="false">
      <c r="A312" s="18" t="n">
        <v>309</v>
      </c>
      <c r="B312" s="4" t="s">
        <v>334</v>
      </c>
      <c r="C312" s="4" t="s">
        <v>315</v>
      </c>
      <c r="D312" s="4" t="s">
        <v>676</v>
      </c>
      <c r="E312" s="4" t="s">
        <v>322</v>
      </c>
      <c r="F312" s="15" t="n">
        <v>-94.26</v>
      </c>
    </row>
    <row r="313" customFormat="false" ht="15" hidden="false" customHeight="false" outlineLevel="0" collapsed="false">
      <c r="A313" s="18" t="n">
        <v>310</v>
      </c>
      <c r="B313" s="4" t="s">
        <v>334</v>
      </c>
      <c r="C313" s="4" t="s">
        <v>315</v>
      </c>
      <c r="D313" s="4" t="s">
        <v>677</v>
      </c>
      <c r="E313" s="4" t="s">
        <v>322</v>
      </c>
      <c r="F313" s="15" t="n">
        <v>-177.76</v>
      </c>
    </row>
    <row r="314" customFormat="false" ht="15" hidden="false" customHeight="false" outlineLevel="0" collapsed="false">
      <c r="A314" s="18" t="n">
        <v>311</v>
      </c>
      <c r="B314" s="4" t="s">
        <v>334</v>
      </c>
      <c r="C314" s="4" t="s">
        <v>315</v>
      </c>
      <c r="D314" s="4" t="s">
        <v>678</v>
      </c>
      <c r="E314" s="4" t="s">
        <v>322</v>
      </c>
      <c r="F314" s="15" t="n">
        <v>-1.96</v>
      </c>
    </row>
    <row r="315" customFormat="false" ht="15" hidden="false" customHeight="false" outlineLevel="0" collapsed="false">
      <c r="A315" s="18" t="n">
        <v>312</v>
      </c>
      <c r="B315" s="4" t="s">
        <v>334</v>
      </c>
      <c r="C315" s="4" t="s">
        <v>315</v>
      </c>
      <c r="D315" s="4" t="s">
        <v>679</v>
      </c>
      <c r="E315" s="4" t="s">
        <v>322</v>
      </c>
      <c r="F315" s="15" t="n">
        <v>-3106.65</v>
      </c>
    </row>
    <row r="316" customFormat="false" ht="15" hidden="false" customHeight="false" outlineLevel="0" collapsed="false">
      <c r="A316" s="18" t="n">
        <v>313</v>
      </c>
      <c r="B316" s="4" t="s">
        <v>334</v>
      </c>
      <c r="C316" s="4" t="s">
        <v>315</v>
      </c>
      <c r="D316" s="4" t="s">
        <v>680</v>
      </c>
      <c r="E316" s="4" t="s">
        <v>322</v>
      </c>
      <c r="F316" s="15" t="n">
        <v>-3305.82</v>
      </c>
    </row>
    <row r="317" customFormat="false" ht="15" hidden="false" customHeight="false" outlineLevel="0" collapsed="false">
      <c r="A317" s="18" t="n">
        <v>314</v>
      </c>
      <c r="B317" s="4" t="s">
        <v>334</v>
      </c>
      <c r="C317" s="4" t="s">
        <v>315</v>
      </c>
      <c r="D317" s="4" t="s">
        <v>681</v>
      </c>
      <c r="E317" s="4" t="s">
        <v>322</v>
      </c>
      <c r="F317" s="15" t="n">
        <v>-3290.01</v>
      </c>
    </row>
    <row r="318" customFormat="false" ht="15" hidden="false" customHeight="false" outlineLevel="0" collapsed="false">
      <c r="A318" s="18" t="n">
        <v>315</v>
      </c>
      <c r="B318" s="4" t="s">
        <v>334</v>
      </c>
      <c r="C318" s="4" t="s">
        <v>315</v>
      </c>
      <c r="D318" s="4" t="s">
        <v>682</v>
      </c>
      <c r="E318" s="4" t="s">
        <v>322</v>
      </c>
      <c r="F318" s="15" t="n">
        <v>-841.36</v>
      </c>
    </row>
    <row r="319" customFormat="false" ht="15" hidden="false" customHeight="false" outlineLevel="0" collapsed="false">
      <c r="A319" s="18" t="n">
        <v>316</v>
      </c>
      <c r="B319" s="4" t="s">
        <v>334</v>
      </c>
      <c r="C319" s="4" t="s">
        <v>315</v>
      </c>
      <c r="D319" s="4" t="s">
        <v>683</v>
      </c>
      <c r="E319" s="4" t="s">
        <v>322</v>
      </c>
      <c r="F319" s="15" t="n">
        <v>-1458.52</v>
      </c>
    </row>
    <row r="320" customFormat="false" ht="15" hidden="false" customHeight="false" outlineLevel="0" collapsed="false">
      <c r="A320" s="18" t="n">
        <v>317</v>
      </c>
      <c r="B320" s="4" t="s">
        <v>334</v>
      </c>
      <c r="C320" s="4" t="s">
        <v>315</v>
      </c>
      <c r="D320" s="4" t="s">
        <v>684</v>
      </c>
      <c r="E320" s="4" t="s">
        <v>322</v>
      </c>
      <c r="F320" s="15" t="n">
        <v>-10.13</v>
      </c>
    </row>
    <row r="321" customFormat="false" ht="15" hidden="false" customHeight="false" outlineLevel="0" collapsed="false">
      <c r="A321" s="18" t="n">
        <v>318</v>
      </c>
      <c r="B321" s="4" t="s">
        <v>334</v>
      </c>
      <c r="C321" s="4" t="s">
        <v>315</v>
      </c>
      <c r="D321" s="4" t="s">
        <v>685</v>
      </c>
      <c r="E321" s="4" t="s">
        <v>322</v>
      </c>
      <c r="F321" s="15" t="n">
        <v>-1146.56</v>
      </c>
    </row>
    <row r="322" customFormat="false" ht="15" hidden="false" customHeight="false" outlineLevel="0" collapsed="false">
      <c r="A322" s="18" t="n">
        <v>319</v>
      </c>
      <c r="B322" s="4" t="s">
        <v>334</v>
      </c>
      <c r="C322" s="4" t="s">
        <v>315</v>
      </c>
      <c r="D322" s="4" t="s">
        <v>686</v>
      </c>
      <c r="E322" s="4" t="s">
        <v>322</v>
      </c>
      <c r="F322" s="15" t="n">
        <v>-1167.7</v>
      </c>
    </row>
    <row r="323" customFormat="false" ht="15" hidden="false" customHeight="false" outlineLevel="0" collapsed="false">
      <c r="A323" s="18" t="n">
        <v>320</v>
      </c>
      <c r="B323" s="4" t="s">
        <v>334</v>
      </c>
      <c r="C323" s="4" t="s">
        <v>315</v>
      </c>
      <c r="D323" s="4" t="s">
        <v>687</v>
      </c>
      <c r="E323" s="4" t="s">
        <v>322</v>
      </c>
      <c r="F323" s="15" t="n">
        <v>-164.74</v>
      </c>
    </row>
    <row r="324" customFormat="false" ht="15" hidden="false" customHeight="false" outlineLevel="0" collapsed="false">
      <c r="A324" s="18" t="n">
        <v>321</v>
      </c>
      <c r="B324" s="4" t="s">
        <v>334</v>
      </c>
      <c r="C324" s="4" t="s">
        <v>315</v>
      </c>
      <c r="D324" s="4" t="s">
        <v>688</v>
      </c>
      <c r="E324" s="4" t="s">
        <v>322</v>
      </c>
      <c r="F324" s="15" t="n">
        <v>-269.65</v>
      </c>
    </row>
    <row r="325" customFormat="false" ht="15" hidden="false" customHeight="false" outlineLevel="0" collapsed="false">
      <c r="A325" s="18" t="n">
        <v>322</v>
      </c>
      <c r="B325" s="4" t="s">
        <v>334</v>
      </c>
      <c r="C325" s="4" t="s">
        <v>315</v>
      </c>
      <c r="D325" s="4" t="s">
        <v>689</v>
      </c>
      <c r="E325" s="4" t="s">
        <v>322</v>
      </c>
      <c r="F325" s="15" t="n">
        <v>-844.05</v>
      </c>
    </row>
    <row r="326" customFormat="false" ht="15" hidden="false" customHeight="false" outlineLevel="0" collapsed="false">
      <c r="A326" s="18" t="n">
        <v>323</v>
      </c>
      <c r="B326" s="4" t="s">
        <v>334</v>
      </c>
      <c r="C326" s="4" t="s">
        <v>315</v>
      </c>
      <c r="D326" s="4" t="s">
        <v>690</v>
      </c>
      <c r="E326" s="4" t="s">
        <v>322</v>
      </c>
      <c r="F326" s="15" t="n">
        <v>-12417.79</v>
      </c>
    </row>
    <row r="327" customFormat="false" ht="15" hidden="false" customHeight="false" outlineLevel="0" collapsed="false">
      <c r="A327" s="18" t="n">
        <v>324</v>
      </c>
      <c r="B327" s="4" t="s">
        <v>334</v>
      </c>
      <c r="C327" s="4" t="s">
        <v>315</v>
      </c>
      <c r="D327" s="4" t="s">
        <v>691</v>
      </c>
      <c r="E327" s="4" t="s">
        <v>322</v>
      </c>
      <c r="F327" s="15" t="n">
        <v>-4.15</v>
      </c>
    </row>
    <row r="328" customFormat="false" ht="15" hidden="false" customHeight="false" outlineLevel="0" collapsed="false">
      <c r="A328" s="18" t="n">
        <v>325</v>
      </c>
      <c r="B328" s="4" t="s">
        <v>334</v>
      </c>
      <c r="C328" s="4" t="s">
        <v>315</v>
      </c>
      <c r="D328" s="4" t="s">
        <v>692</v>
      </c>
      <c r="E328" s="4" t="s">
        <v>322</v>
      </c>
      <c r="F328" s="15" t="n">
        <v>-586</v>
      </c>
    </row>
    <row r="329" customFormat="false" ht="15" hidden="false" customHeight="false" outlineLevel="0" collapsed="false">
      <c r="A329" s="18" t="n">
        <v>326</v>
      </c>
      <c r="B329" s="4" t="s">
        <v>334</v>
      </c>
      <c r="C329" s="4" t="s">
        <v>318</v>
      </c>
      <c r="D329" s="4" t="s">
        <v>693</v>
      </c>
      <c r="E329" s="4" t="s">
        <v>323</v>
      </c>
      <c r="F329" s="15" t="n">
        <v>-216.71</v>
      </c>
      <c r="G329" s="4" t="s">
        <v>368</v>
      </c>
      <c r="H329" s="30" t="n">
        <v>144478.17</v>
      </c>
      <c r="I329" s="31" t="n">
        <v>0.0015</v>
      </c>
      <c r="J329" s="15" t="n">
        <f aca="false">-ROUND(H329*I329,2)</f>
        <v>-216.72</v>
      </c>
      <c r="K329" s="15" t="n">
        <f aca="false">ROUND(J329-F329,2)</f>
        <v>-0.01</v>
      </c>
      <c r="L329" s="4" t="str">
        <f aca="false">IF(ABS(K329)&lt;0.005,"OK",IF(ABS(K329)&lt;=0.11,"Rounding / minimum fee","REVIEW"))</f>
        <v>Rounding / minimum fee</v>
      </c>
    </row>
    <row r="330" customFormat="false" ht="15" hidden="false" customHeight="false" outlineLevel="0" collapsed="false">
      <c r="A330" s="18" t="n">
        <v>327</v>
      </c>
      <c r="B330" s="4" t="s">
        <v>334</v>
      </c>
      <c r="C330" s="4" t="s">
        <v>318</v>
      </c>
      <c r="D330" s="4" t="s">
        <v>694</v>
      </c>
      <c r="E330" s="4" t="s">
        <v>71</v>
      </c>
      <c r="F330" s="15" t="n">
        <v>-20.8</v>
      </c>
      <c r="G330" s="4" t="s">
        <v>376</v>
      </c>
      <c r="H330" s="30" t="n">
        <v>208</v>
      </c>
      <c r="I330" s="31" t="n">
        <v>0.1</v>
      </c>
      <c r="J330" s="15" t="n">
        <f aca="false">-ROUND(H330*I330,2)</f>
        <v>-20.8</v>
      </c>
      <c r="K330" s="15" t="n">
        <f aca="false">ROUND(J330-F330,2)</f>
        <v>0</v>
      </c>
      <c r="L330" s="4" t="str">
        <f aca="false">IF(ABS(K330)&lt;0.005,"OK",IF(ABS(K330)&lt;=0.11,"Rounding / minimum fee","REVIEW"))</f>
        <v>OK</v>
      </c>
    </row>
    <row r="331" customFormat="false" ht="15" hidden="false" customHeight="false" outlineLevel="0" collapsed="false">
      <c r="A331" s="18" t="n">
        <v>328</v>
      </c>
      <c r="B331" s="4" t="s">
        <v>334</v>
      </c>
      <c r="C331" s="4" t="s">
        <v>318</v>
      </c>
      <c r="D331" s="4" t="s">
        <v>695</v>
      </c>
      <c r="E331" s="4" t="s">
        <v>323</v>
      </c>
      <c r="F331" s="15" t="n">
        <v>-14.4</v>
      </c>
      <c r="G331" s="4" t="s">
        <v>368</v>
      </c>
      <c r="H331" s="30" t="n">
        <v>9598.6</v>
      </c>
      <c r="I331" s="31" t="n">
        <v>0.0015</v>
      </c>
      <c r="J331" s="15" t="n">
        <f aca="false">-ROUND(H331*I331,2)</f>
        <v>-14.4</v>
      </c>
      <c r="K331" s="15" t="n">
        <f aca="false">ROUND(J331-F331,2)</f>
        <v>0</v>
      </c>
      <c r="L331" s="4" t="str">
        <f aca="false">IF(ABS(K331)&lt;0.005,"OK",IF(ABS(K331)&lt;=0.11,"Rounding / minimum fee","REVIEW"))</f>
        <v>OK</v>
      </c>
    </row>
    <row r="332" customFormat="false" ht="15" hidden="false" customHeight="false" outlineLevel="0" collapsed="false">
      <c r="A332" s="18" t="n">
        <v>329</v>
      </c>
      <c r="B332" s="4" t="s">
        <v>334</v>
      </c>
      <c r="C332" s="4" t="s">
        <v>318</v>
      </c>
      <c r="D332" s="4" t="s">
        <v>696</v>
      </c>
      <c r="E332" s="4" t="s">
        <v>323</v>
      </c>
      <c r="F332" s="15" t="n">
        <v>-0.55</v>
      </c>
      <c r="G332" s="4" t="s">
        <v>376</v>
      </c>
      <c r="H332" s="30" t="n">
        <v>201</v>
      </c>
      <c r="I332" s="31" t="n">
        <v>0.0025</v>
      </c>
      <c r="J332" s="15" t="n">
        <f aca="false">-ROUND(H332*I332,2)</f>
        <v>-0.5</v>
      </c>
      <c r="K332" s="15" t="n">
        <f aca="false">ROUND(J332-F332,2)</f>
        <v>0.05</v>
      </c>
      <c r="L332" s="4" t="str">
        <f aca="false">IF(ABS(K332)&lt;0.005,"OK",IF(ABS(K332)&lt;=0.11,"Rounding / minimum fee","REVIEW"))</f>
        <v>Rounding / minimum fee</v>
      </c>
    </row>
    <row r="333" customFormat="false" ht="15" hidden="false" customHeight="false" outlineLevel="0" collapsed="false">
      <c r="A333" s="18" t="n">
        <v>330</v>
      </c>
      <c r="B333" s="4" t="s">
        <v>334</v>
      </c>
      <c r="C333" s="4" t="s">
        <v>318</v>
      </c>
      <c r="D333" s="4" t="s">
        <v>697</v>
      </c>
      <c r="E333" s="4" t="s">
        <v>71</v>
      </c>
      <c r="F333" s="15" t="n">
        <v>-1.04</v>
      </c>
      <c r="G333" s="4" t="s">
        <v>376</v>
      </c>
      <c r="H333" s="30" t="n">
        <v>201</v>
      </c>
      <c r="I333" s="31" t="n">
        <v>0.005</v>
      </c>
      <c r="J333" s="15" t="n">
        <f aca="false">-ROUND(H333*I333,2)</f>
        <v>-1.01</v>
      </c>
      <c r="K333" s="15" t="n">
        <f aca="false">ROUND(J333-F333,2)</f>
        <v>0.03</v>
      </c>
      <c r="L333" s="4" t="str">
        <f aca="false">IF(ABS(K333)&lt;0.005,"OK",IF(ABS(K333)&lt;=0.11,"Rounding / minimum fee","REVIEW"))</f>
        <v>Rounding / minimum fee</v>
      </c>
    </row>
    <row r="334" customFormat="false" ht="15" hidden="false" customHeight="false" outlineLevel="0" collapsed="false">
      <c r="A334" s="18" t="n">
        <v>331</v>
      </c>
      <c r="B334" s="4" t="s">
        <v>334</v>
      </c>
      <c r="C334" s="4" t="s">
        <v>318</v>
      </c>
      <c r="D334" s="4" t="s">
        <v>698</v>
      </c>
      <c r="E334" s="4" t="s">
        <v>322</v>
      </c>
      <c r="F334" s="15" t="n">
        <v>-215.7</v>
      </c>
      <c r="G334" s="4" t="s">
        <v>368</v>
      </c>
      <c r="H334" s="30" t="n">
        <v>154076.77</v>
      </c>
      <c r="I334" s="31" t="n">
        <v>0.0014</v>
      </c>
      <c r="J334" s="15" t="n">
        <f aca="false">-ROUND(H334*I334,2)</f>
        <v>-215.71</v>
      </c>
      <c r="K334" s="15" t="n">
        <f aca="false">ROUND(J334-F334,2)</f>
        <v>-0.01</v>
      </c>
      <c r="L334" s="4" t="str">
        <f aca="false">IF(ABS(K334)&lt;0.005,"OK",IF(ABS(K334)&lt;=0.11,"Rounding / minimum fee","REVIEW"))</f>
        <v>Rounding / minimum fee</v>
      </c>
      <c r="M334" s="4" t="s">
        <v>496</v>
      </c>
    </row>
    <row r="335" customFormat="false" ht="15" hidden="false" customHeight="false" outlineLevel="0" collapsed="false">
      <c r="A335" s="18" t="n">
        <v>332</v>
      </c>
      <c r="B335" s="4" t="s">
        <v>334</v>
      </c>
      <c r="C335" s="4" t="s">
        <v>318</v>
      </c>
      <c r="D335" s="4" t="s">
        <v>699</v>
      </c>
      <c r="E335" s="4" t="s">
        <v>71</v>
      </c>
      <c r="F335" s="15" t="n">
        <v>-3.77</v>
      </c>
      <c r="G335" s="4" t="s">
        <v>376</v>
      </c>
      <c r="H335" s="30" t="n">
        <v>198</v>
      </c>
      <c r="I335" s="31" t="n">
        <v>0.019</v>
      </c>
      <c r="J335" s="15" t="n">
        <f aca="false">-ROUND(H335*I335,2)</f>
        <v>-3.76</v>
      </c>
      <c r="K335" s="15" t="n">
        <f aca="false">ROUND(J335-F335,2)</f>
        <v>0.01</v>
      </c>
      <c r="L335" s="4" t="str">
        <f aca="false">IF(ABS(K335)&lt;0.005,"OK",IF(ABS(K335)&lt;=0.11,"Rounding / minimum fee","REVIEW"))</f>
        <v>Rounding / minimum fee</v>
      </c>
    </row>
    <row r="336" customFormat="false" ht="15" hidden="false" customHeight="false" outlineLevel="0" collapsed="false">
      <c r="A336" s="18" t="n">
        <v>333</v>
      </c>
      <c r="B336" s="4" t="s">
        <v>334</v>
      </c>
      <c r="C336" s="4" t="s">
        <v>318</v>
      </c>
      <c r="D336" s="4" t="s">
        <v>700</v>
      </c>
      <c r="E336" s="4" t="s">
        <v>322</v>
      </c>
      <c r="F336" s="15" t="n">
        <v>-910.75</v>
      </c>
    </row>
    <row r="337" customFormat="false" ht="15" hidden="false" customHeight="false" outlineLevel="0" collapsed="false">
      <c r="A337" s="18" t="n">
        <v>334</v>
      </c>
      <c r="B337" s="4" t="s">
        <v>334</v>
      </c>
      <c r="C337" s="4" t="s">
        <v>318</v>
      </c>
      <c r="D337" s="4" t="s">
        <v>701</v>
      </c>
      <c r="E337" s="4" t="s">
        <v>322</v>
      </c>
      <c r="F337" s="15" t="n">
        <v>-61.75</v>
      </c>
    </row>
    <row r="338" customFormat="false" ht="15" hidden="false" customHeight="false" outlineLevel="0" collapsed="false">
      <c r="A338" s="18" t="n">
        <v>335</v>
      </c>
      <c r="B338" s="4" t="s">
        <v>334</v>
      </c>
      <c r="C338" s="4" t="s">
        <v>318</v>
      </c>
      <c r="D338" s="4" t="s">
        <v>702</v>
      </c>
      <c r="E338" s="4" t="s">
        <v>322</v>
      </c>
      <c r="F338" s="15" t="n">
        <v>-54.06</v>
      </c>
    </row>
    <row r="339" customFormat="false" ht="15" hidden="false" customHeight="false" outlineLevel="0" collapsed="false">
      <c r="A339" s="18" t="n">
        <v>336</v>
      </c>
      <c r="B339" s="4" t="s">
        <v>334</v>
      </c>
      <c r="C339" s="4" t="s">
        <v>318</v>
      </c>
      <c r="D339" s="4" t="s">
        <v>703</v>
      </c>
      <c r="E339" s="4" t="s">
        <v>322</v>
      </c>
      <c r="F339" s="15" t="n">
        <v>-284.49</v>
      </c>
    </row>
    <row r="340" customFormat="false" ht="15" hidden="false" customHeight="false" outlineLevel="0" collapsed="false">
      <c r="A340" s="18" t="n">
        <v>337</v>
      </c>
      <c r="B340" s="4" t="s">
        <v>334</v>
      </c>
      <c r="C340" s="4" t="s">
        <v>318</v>
      </c>
      <c r="D340" s="4" t="s">
        <v>704</v>
      </c>
      <c r="E340" s="4" t="s">
        <v>322</v>
      </c>
      <c r="F340" s="15" t="n">
        <v>-228.55</v>
      </c>
    </row>
    <row r="341" customFormat="false" ht="15" hidden="false" customHeight="false" outlineLevel="0" collapsed="false">
      <c r="A341" s="18" t="n">
        <v>338</v>
      </c>
      <c r="B341" s="4" t="s">
        <v>334</v>
      </c>
      <c r="C341" s="4" t="s">
        <v>318</v>
      </c>
      <c r="D341" s="4" t="s">
        <v>705</v>
      </c>
      <c r="E341" s="4" t="s">
        <v>322</v>
      </c>
      <c r="F341" s="15" t="n">
        <v>-47.3</v>
      </c>
    </row>
    <row r="342" customFormat="false" ht="15" hidden="false" customHeight="false" outlineLevel="0" collapsed="false">
      <c r="A342" s="18" t="n">
        <v>339</v>
      </c>
      <c r="B342" s="4" t="s">
        <v>334</v>
      </c>
      <c r="C342" s="4" t="s">
        <v>318</v>
      </c>
      <c r="D342" s="4" t="s">
        <v>706</v>
      </c>
      <c r="E342" s="4" t="s">
        <v>322</v>
      </c>
      <c r="F342" s="15" t="n">
        <v>-985.49</v>
      </c>
    </row>
    <row r="343" customFormat="false" ht="15" hidden="false" customHeight="false" outlineLevel="0" collapsed="false">
      <c r="A343" s="18" t="n">
        <v>340</v>
      </c>
      <c r="B343" s="4" t="s">
        <v>334</v>
      </c>
      <c r="C343" s="4" t="s">
        <v>318</v>
      </c>
      <c r="D343" s="4" t="s">
        <v>707</v>
      </c>
      <c r="E343" s="4" t="s">
        <v>322</v>
      </c>
      <c r="F343" s="15" t="n">
        <v>-282.53</v>
      </c>
    </row>
    <row r="344" customFormat="false" ht="15" hidden="false" customHeight="false" outlineLevel="0" collapsed="false">
      <c r="A344" s="18" t="n">
        <v>341</v>
      </c>
      <c r="B344" s="4" t="s">
        <v>334</v>
      </c>
      <c r="C344" s="4" t="s">
        <v>318</v>
      </c>
      <c r="D344" s="4" t="s">
        <v>708</v>
      </c>
      <c r="E344" s="4" t="s">
        <v>322</v>
      </c>
      <c r="F344" s="15" t="n">
        <v>-280.68</v>
      </c>
    </row>
    <row r="345" customFormat="false" ht="15" hidden="false" customHeight="false" outlineLevel="0" collapsed="false">
      <c r="A345" s="18" t="n">
        <v>342</v>
      </c>
      <c r="B345" s="4" t="s">
        <v>334</v>
      </c>
      <c r="C345" s="4" t="s">
        <v>317</v>
      </c>
      <c r="D345" s="4" t="s">
        <v>709</v>
      </c>
      <c r="E345" s="4" t="s">
        <v>71</v>
      </c>
      <c r="F345" s="15" t="n">
        <v>-170</v>
      </c>
      <c r="G345" s="4" t="s">
        <v>376</v>
      </c>
      <c r="H345" s="30" t="n">
        <v>1700</v>
      </c>
      <c r="I345" s="31" t="n">
        <v>0.1</v>
      </c>
      <c r="J345" s="15" t="n">
        <f aca="false">-ROUND(H345*I345,2)</f>
        <v>-170</v>
      </c>
      <c r="K345" s="15" t="n">
        <f aca="false">ROUND(J345-F345,2)</f>
        <v>0</v>
      </c>
      <c r="L345" s="4" t="str">
        <f aca="false">IF(ABS(K345)&lt;0.005,"OK",IF(ABS(K345)&lt;=0.11,"Rounding / minimum fee","REVIEW"))</f>
        <v>OK</v>
      </c>
    </row>
    <row r="346" customFormat="false" ht="15" hidden="false" customHeight="false" outlineLevel="0" collapsed="false">
      <c r="A346" s="18" t="n">
        <v>343</v>
      </c>
      <c r="B346" s="4" t="s">
        <v>334</v>
      </c>
      <c r="C346" s="4" t="s">
        <v>319</v>
      </c>
      <c r="D346" s="4" t="s">
        <v>710</v>
      </c>
      <c r="E346" s="4" t="s">
        <v>71</v>
      </c>
      <c r="F346" s="15" t="n">
        <v>-0.28</v>
      </c>
      <c r="G346" s="4" t="s">
        <v>368</v>
      </c>
      <c r="H346" s="30" t="n">
        <v>2827.35</v>
      </c>
      <c r="I346" s="31" t="n">
        <v>0.0001</v>
      </c>
      <c r="J346" s="15" t="n">
        <f aca="false">-ROUND(H346*I346,2)</f>
        <v>-0.28</v>
      </c>
      <c r="K346" s="15" t="n">
        <f aca="false">ROUND(J346-F346,2)</f>
        <v>0</v>
      </c>
      <c r="L346" s="4" t="str">
        <f aca="false">IF(ABS(K346)&lt;0.005,"OK",IF(ABS(K346)&lt;=0.11,"Rounding / minimum fee","REVIEW"))</f>
        <v>OK</v>
      </c>
    </row>
    <row r="347" customFormat="false" ht="15" hidden="false" customHeight="false" outlineLevel="0" collapsed="false">
      <c r="A347" s="18" t="n">
        <v>344</v>
      </c>
      <c r="B347" s="4" t="s">
        <v>334</v>
      </c>
      <c r="C347" s="4" t="s">
        <v>319</v>
      </c>
      <c r="D347" s="4" t="s">
        <v>711</v>
      </c>
      <c r="E347" s="4" t="s">
        <v>71</v>
      </c>
      <c r="F347" s="15" t="n">
        <v>-0.02</v>
      </c>
      <c r="G347" s="4" t="s">
        <v>368</v>
      </c>
      <c r="H347" s="30" t="n">
        <v>158.32</v>
      </c>
      <c r="I347" s="31" t="n">
        <v>0.0001</v>
      </c>
      <c r="J347" s="15" t="n">
        <f aca="false">-ROUND(H347*I347,2)</f>
        <v>-0.02</v>
      </c>
      <c r="K347" s="15" t="n">
        <f aca="false">ROUND(J347-F347,2)</f>
        <v>0</v>
      </c>
      <c r="L347" s="4" t="str">
        <f aca="false">IF(ABS(K347)&lt;0.005,"OK",IF(ABS(K347)&lt;=0.11,"Rounding / minimum fee","REVIEW"))</f>
        <v>OK</v>
      </c>
    </row>
    <row r="348" customFormat="false" ht="15" hidden="false" customHeight="false" outlineLevel="0" collapsed="false">
      <c r="A348" s="18" t="n">
        <v>345</v>
      </c>
      <c r="B348" s="4" t="s">
        <v>334</v>
      </c>
      <c r="C348" s="4" t="s">
        <v>319</v>
      </c>
      <c r="D348" s="4" t="s">
        <v>712</v>
      </c>
      <c r="E348" s="4" t="s">
        <v>71</v>
      </c>
      <c r="F348" s="15" t="n">
        <v>-0.01</v>
      </c>
      <c r="G348" s="4" t="s">
        <v>368</v>
      </c>
      <c r="H348" s="30" t="n">
        <v>50.59</v>
      </c>
      <c r="I348" s="31" t="n">
        <v>0.0001</v>
      </c>
      <c r="J348" s="15" t="n">
        <f aca="false">-ROUND(H348*I348,2)</f>
        <v>-0.01</v>
      </c>
      <c r="K348" s="15" t="n">
        <f aca="false">ROUND(J348-F348,2)</f>
        <v>0</v>
      </c>
      <c r="L348" s="4" t="str">
        <f aca="false">IF(ABS(K348)&lt;0.005,"OK",IF(ABS(K348)&lt;=0.11,"Rounding / minimum fee","REVIEW"))</f>
        <v>OK</v>
      </c>
    </row>
    <row r="349" customFormat="false" ht="15" hidden="false" customHeight="false" outlineLevel="0" collapsed="false">
      <c r="A349" s="18" t="n">
        <v>346</v>
      </c>
      <c r="B349" s="4" t="s">
        <v>334</v>
      </c>
      <c r="C349" s="4" t="s">
        <v>319</v>
      </c>
      <c r="D349" s="4" t="s">
        <v>713</v>
      </c>
      <c r="E349" s="4" t="s">
        <v>71</v>
      </c>
      <c r="F349" s="15" t="n">
        <v>-1.94</v>
      </c>
      <c r="G349" s="4" t="s">
        <v>368</v>
      </c>
      <c r="H349" s="30" t="n">
        <v>19382.97</v>
      </c>
      <c r="I349" s="31" t="n">
        <v>0.0001</v>
      </c>
      <c r="J349" s="15" t="n">
        <f aca="false">-ROUND(H349*I349,2)</f>
        <v>-1.94</v>
      </c>
      <c r="K349" s="15" t="n">
        <f aca="false">ROUND(J349-F349,2)</f>
        <v>0</v>
      </c>
      <c r="L349" s="4" t="str">
        <f aca="false">IF(ABS(K349)&lt;0.005,"OK",IF(ABS(K349)&lt;=0.11,"Rounding / minimum fee","REVIEW"))</f>
        <v>OK</v>
      </c>
    </row>
    <row r="350" customFormat="false" ht="15" hidden="false" customHeight="false" outlineLevel="0" collapsed="false">
      <c r="A350" s="18" t="n">
        <v>347</v>
      </c>
      <c r="B350" s="4" t="s">
        <v>334</v>
      </c>
      <c r="C350" s="4" t="s">
        <v>319</v>
      </c>
      <c r="D350" s="4" t="s">
        <v>714</v>
      </c>
      <c r="E350" s="4" t="s">
        <v>71</v>
      </c>
      <c r="F350" s="15" t="n">
        <v>-0.05</v>
      </c>
      <c r="G350" s="4" t="s">
        <v>368</v>
      </c>
      <c r="H350" s="30" t="n">
        <v>483.68</v>
      </c>
      <c r="I350" s="31" t="n">
        <v>0.0001</v>
      </c>
      <c r="J350" s="15" t="n">
        <f aca="false">-ROUND(H350*I350,2)</f>
        <v>-0.05</v>
      </c>
      <c r="K350" s="15" t="n">
        <f aca="false">ROUND(J350-F350,2)</f>
        <v>0</v>
      </c>
      <c r="L350" s="4" t="str">
        <f aca="false">IF(ABS(K350)&lt;0.005,"OK",IF(ABS(K350)&lt;=0.11,"Rounding / minimum fee","REVIEW"))</f>
        <v>OK</v>
      </c>
    </row>
    <row r="351" customFormat="false" ht="15" hidden="false" customHeight="false" outlineLevel="0" collapsed="false">
      <c r="A351" s="18" t="n">
        <v>348</v>
      </c>
      <c r="B351" s="4" t="s">
        <v>334</v>
      </c>
      <c r="C351" s="4" t="s">
        <v>319</v>
      </c>
      <c r="D351" s="4" t="s">
        <v>715</v>
      </c>
      <c r="E351" s="4" t="s">
        <v>71</v>
      </c>
      <c r="F351" s="15" t="n">
        <v>-0.01</v>
      </c>
      <c r="G351" s="4" t="s">
        <v>368</v>
      </c>
      <c r="H351" s="30" t="n">
        <v>135.71</v>
      </c>
      <c r="I351" s="31" t="n">
        <v>0.0001</v>
      </c>
      <c r="J351" s="15" t="n">
        <f aca="false">-ROUND(H351*I351,2)</f>
        <v>-0.01</v>
      </c>
      <c r="K351" s="15" t="n">
        <f aca="false">ROUND(J351-F351,2)</f>
        <v>0</v>
      </c>
      <c r="L351" s="4" t="str">
        <f aca="false">IF(ABS(K351)&lt;0.005,"OK",IF(ABS(K351)&lt;=0.11,"Rounding / minimum fee","REVIEW"))</f>
        <v>OK</v>
      </c>
    </row>
    <row r="352" customFormat="false" ht="15" hidden="false" customHeight="false" outlineLevel="0" collapsed="false">
      <c r="A352" s="18" t="n">
        <v>349</v>
      </c>
      <c r="B352" s="4" t="s">
        <v>334</v>
      </c>
      <c r="C352" s="4" t="s">
        <v>319</v>
      </c>
      <c r="D352" s="4" t="s">
        <v>716</v>
      </c>
      <c r="E352" s="4" t="s">
        <v>71</v>
      </c>
      <c r="F352" s="15" t="n">
        <v>-0.05</v>
      </c>
      <c r="G352" s="4" t="s">
        <v>368</v>
      </c>
      <c r="H352" s="30" t="n">
        <v>485.99</v>
      </c>
      <c r="I352" s="31" t="n">
        <v>0.0001</v>
      </c>
      <c r="J352" s="15" t="n">
        <f aca="false">-ROUND(H352*I352,2)</f>
        <v>-0.05</v>
      </c>
      <c r="K352" s="15" t="n">
        <f aca="false">ROUND(J352-F352,2)</f>
        <v>0</v>
      </c>
      <c r="L352" s="4" t="str">
        <f aca="false">IF(ABS(K352)&lt;0.005,"OK",IF(ABS(K352)&lt;=0.11,"Rounding / minimum fee","REVIEW"))</f>
        <v>OK</v>
      </c>
    </row>
    <row r="353" customFormat="false" ht="15" hidden="false" customHeight="false" outlineLevel="0" collapsed="false">
      <c r="A353" s="18" t="n">
        <v>350</v>
      </c>
      <c r="B353" s="4" t="s">
        <v>334</v>
      </c>
      <c r="C353" s="4" t="s">
        <v>319</v>
      </c>
      <c r="D353" s="4" t="s">
        <v>717</v>
      </c>
      <c r="E353" s="4" t="s">
        <v>71</v>
      </c>
      <c r="F353" s="15" t="n">
        <v>-0.03</v>
      </c>
      <c r="G353" s="4" t="s">
        <v>368</v>
      </c>
      <c r="H353" s="30" t="n">
        <v>306.25</v>
      </c>
      <c r="I353" s="31" t="n">
        <v>0.0001</v>
      </c>
      <c r="J353" s="15" t="n">
        <f aca="false">-ROUND(H353*I353,2)</f>
        <v>-0.03</v>
      </c>
      <c r="K353" s="15" t="n">
        <f aca="false">ROUND(J353-F353,2)</f>
        <v>0</v>
      </c>
      <c r="L353" s="4" t="str">
        <f aca="false">IF(ABS(K353)&lt;0.005,"OK",IF(ABS(K353)&lt;=0.11,"Rounding / minimum fee","REVIEW"))</f>
        <v>OK</v>
      </c>
    </row>
    <row r="354" customFormat="false" ht="15" hidden="false" customHeight="false" outlineLevel="0" collapsed="false">
      <c r="A354" s="18" t="n">
        <v>351</v>
      </c>
      <c r="B354" s="4" t="s">
        <v>334</v>
      </c>
      <c r="C354" s="4" t="s">
        <v>319</v>
      </c>
      <c r="D354" s="4" t="s">
        <v>718</v>
      </c>
      <c r="E354" s="4" t="s">
        <v>71</v>
      </c>
      <c r="F354" s="15" t="n">
        <v>-0.06</v>
      </c>
      <c r="G354" s="4" t="s">
        <v>368</v>
      </c>
      <c r="H354" s="30" t="n">
        <v>584.85</v>
      </c>
      <c r="I354" s="31" t="n">
        <v>0.0001</v>
      </c>
      <c r="J354" s="15" t="n">
        <f aca="false">-ROUND(H354*I354,2)</f>
        <v>-0.06</v>
      </c>
      <c r="K354" s="15" t="n">
        <f aca="false">ROUND(J354-F354,2)</f>
        <v>0</v>
      </c>
      <c r="L354" s="4" t="str">
        <f aca="false">IF(ABS(K354)&lt;0.005,"OK",IF(ABS(K354)&lt;=0.11,"Rounding / minimum fee","REVIEW"))</f>
        <v>OK</v>
      </c>
    </row>
    <row r="355" customFormat="false" ht="15" hidden="false" customHeight="false" outlineLevel="0" collapsed="false">
      <c r="A355" s="18" t="n">
        <v>352</v>
      </c>
      <c r="B355" s="4" t="s">
        <v>334</v>
      </c>
      <c r="C355" s="4" t="s">
        <v>319</v>
      </c>
      <c r="D355" s="4" t="s">
        <v>719</v>
      </c>
      <c r="E355" s="4" t="s">
        <v>323</v>
      </c>
      <c r="F355" s="15" t="n">
        <v>-27.23</v>
      </c>
      <c r="G355" s="4" t="s">
        <v>368</v>
      </c>
      <c r="H355" s="30" t="n">
        <v>18152.97</v>
      </c>
      <c r="I355" s="31" t="n">
        <v>0.0015</v>
      </c>
      <c r="J355" s="15" t="n">
        <f aca="false">-ROUND(H355*I355,2)</f>
        <v>-27.23</v>
      </c>
      <c r="K355" s="15" t="n">
        <f aca="false">ROUND(J355-F355,2)</f>
        <v>0</v>
      </c>
      <c r="L355" s="4" t="str">
        <f aca="false">IF(ABS(K355)&lt;0.005,"OK",IF(ABS(K355)&lt;=0.11,"Rounding / minimum fee","REVIEW"))</f>
        <v>OK</v>
      </c>
    </row>
    <row r="356" customFormat="false" ht="15" hidden="false" customHeight="false" outlineLevel="0" collapsed="false">
      <c r="A356" s="18" t="n">
        <v>353</v>
      </c>
      <c r="B356" s="4" t="s">
        <v>334</v>
      </c>
      <c r="C356" s="4" t="s">
        <v>319</v>
      </c>
      <c r="D356" s="4" t="s">
        <v>720</v>
      </c>
      <c r="E356" s="4" t="s">
        <v>71</v>
      </c>
      <c r="F356" s="15" t="n">
        <v>-0.01</v>
      </c>
      <c r="G356" s="4" t="s">
        <v>368</v>
      </c>
      <c r="H356" s="30" t="n">
        <v>93.28</v>
      </c>
      <c r="I356" s="31" t="n">
        <v>0.0001</v>
      </c>
      <c r="J356" s="15" t="n">
        <f aca="false">-ROUND(H356*I356,2)</f>
        <v>-0.01</v>
      </c>
      <c r="K356" s="15" t="n">
        <f aca="false">ROUND(J356-F356,2)</f>
        <v>0</v>
      </c>
      <c r="L356" s="4" t="str">
        <f aca="false">IF(ABS(K356)&lt;0.005,"OK",IF(ABS(K356)&lt;=0.11,"Rounding / minimum fee","REVIEW"))</f>
        <v>OK</v>
      </c>
    </row>
    <row r="357" customFormat="false" ht="15" hidden="false" customHeight="false" outlineLevel="0" collapsed="false">
      <c r="A357" s="18" t="n">
        <v>354</v>
      </c>
      <c r="B357" s="4" t="s">
        <v>334</v>
      </c>
      <c r="C357" s="4" t="s">
        <v>319</v>
      </c>
      <c r="D357" s="4" t="s">
        <v>721</v>
      </c>
      <c r="E357" s="4" t="s">
        <v>71</v>
      </c>
      <c r="F357" s="15" t="n">
        <v>-0.13</v>
      </c>
      <c r="G357" s="4" t="s">
        <v>368</v>
      </c>
      <c r="H357" s="30" t="n">
        <v>1319.66</v>
      </c>
      <c r="I357" s="31" t="n">
        <v>0.0001</v>
      </c>
      <c r="J357" s="15" t="n">
        <f aca="false">-ROUND(H357*I357,2)</f>
        <v>-0.13</v>
      </c>
      <c r="K357" s="15" t="n">
        <f aca="false">ROUND(J357-F357,2)</f>
        <v>0</v>
      </c>
      <c r="L357" s="4" t="str">
        <f aca="false">IF(ABS(K357)&lt;0.005,"OK",IF(ABS(K357)&lt;=0.11,"Rounding / minimum fee","REVIEW"))</f>
        <v>OK</v>
      </c>
    </row>
    <row r="358" customFormat="false" ht="15" hidden="false" customHeight="false" outlineLevel="0" collapsed="false">
      <c r="A358" s="18" t="n">
        <v>355</v>
      </c>
      <c r="B358" s="4" t="s">
        <v>334</v>
      </c>
      <c r="C358" s="4" t="s">
        <v>319</v>
      </c>
      <c r="D358" s="4" t="s">
        <v>722</v>
      </c>
      <c r="E358" s="4" t="s">
        <v>71</v>
      </c>
      <c r="F358" s="15" t="n">
        <v>-0.04</v>
      </c>
      <c r="G358" s="4" t="s">
        <v>368</v>
      </c>
      <c r="H358" s="30" t="n">
        <v>410.67</v>
      </c>
      <c r="I358" s="31" t="n">
        <v>0.0001</v>
      </c>
      <c r="J358" s="15" t="n">
        <f aca="false">-ROUND(H358*I358,2)</f>
        <v>-0.04</v>
      </c>
      <c r="K358" s="15" t="n">
        <f aca="false">ROUND(J358-F358,2)</f>
        <v>0</v>
      </c>
      <c r="L358" s="4" t="str">
        <f aca="false">IF(ABS(K358)&lt;0.005,"OK",IF(ABS(K358)&lt;=0.11,"Rounding / minimum fee","REVIEW"))</f>
        <v>OK</v>
      </c>
    </row>
    <row r="359" customFormat="false" ht="15" hidden="false" customHeight="false" outlineLevel="0" collapsed="false">
      <c r="A359" s="18" t="n">
        <v>356</v>
      </c>
      <c r="B359" s="4" t="s">
        <v>334</v>
      </c>
      <c r="C359" s="4" t="s">
        <v>319</v>
      </c>
      <c r="D359" s="4" t="s">
        <v>723</v>
      </c>
      <c r="E359" s="4" t="s">
        <v>71</v>
      </c>
      <c r="F359" s="15" t="n">
        <v>-0.02</v>
      </c>
      <c r="G359" s="4" t="s">
        <v>368</v>
      </c>
      <c r="H359" s="30" t="n">
        <v>172.58</v>
      </c>
      <c r="I359" s="31" t="n">
        <v>0.0001</v>
      </c>
      <c r="J359" s="15" t="n">
        <f aca="false">-ROUND(H359*I359,2)</f>
        <v>-0.02</v>
      </c>
      <c r="K359" s="15" t="n">
        <f aca="false">ROUND(J359-F359,2)</f>
        <v>0</v>
      </c>
      <c r="L359" s="4" t="str">
        <f aca="false">IF(ABS(K359)&lt;0.005,"OK",IF(ABS(K359)&lt;=0.11,"Rounding / minimum fee","REVIEW"))</f>
        <v>OK</v>
      </c>
    </row>
    <row r="360" customFormat="false" ht="15" hidden="false" customHeight="false" outlineLevel="0" collapsed="false">
      <c r="A360" s="18" t="n">
        <v>357</v>
      </c>
      <c r="B360" s="4" t="s">
        <v>334</v>
      </c>
      <c r="C360" s="4" t="s">
        <v>319</v>
      </c>
      <c r="D360" s="4" t="s">
        <v>724</v>
      </c>
      <c r="E360" s="4" t="s">
        <v>71</v>
      </c>
      <c r="F360" s="15" t="n">
        <v>-0.09</v>
      </c>
      <c r="G360" s="4" t="s">
        <v>368</v>
      </c>
      <c r="H360" s="30" t="n">
        <v>924.51</v>
      </c>
      <c r="I360" s="31" t="n">
        <v>0.0001</v>
      </c>
      <c r="J360" s="15" t="n">
        <f aca="false">-ROUND(H360*I360,2)</f>
        <v>-0.09</v>
      </c>
      <c r="K360" s="15" t="n">
        <f aca="false">ROUND(J360-F360,2)</f>
        <v>0</v>
      </c>
      <c r="L360" s="4" t="str">
        <f aca="false">IF(ABS(K360)&lt;0.005,"OK",IF(ABS(K360)&lt;=0.11,"Rounding / minimum fee","REVIEW"))</f>
        <v>OK</v>
      </c>
    </row>
    <row r="361" customFormat="false" ht="15" hidden="false" customHeight="false" outlineLevel="0" collapsed="false">
      <c r="D361" s="22" t="s">
        <v>321</v>
      </c>
      <c r="F361" s="23" t="n">
        <f aca="false">SUM(F4:F360)</f>
        <v>-170258.04</v>
      </c>
    </row>
  </sheetData>
  <autoFilter ref="A3:M36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6"/>
    <col collapsed="false" customWidth="true" hidden="false" outlineLevel="0" max="3" min="3" style="0" width="16"/>
    <col collapsed="false" customWidth="true" hidden="false" outlineLevel="0" max="4" min="4" style="0" width="10"/>
    <col collapsed="false" customWidth="true" hidden="false" outlineLevel="0" max="5" min="5" style="0" width="14"/>
    <col collapsed="false" customWidth="true" hidden="false" outlineLevel="0" max="8" min="6" style="0" width="12"/>
    <col collapsed="false" customWidth="true" hidden="false" outlineLevel="0" max="9" min="9" style="0" width="18"/>
    <col collapsed="false" customWidth="true" hidden="false" outlineLevel="0" max="10" min="10" style="0" width="14"/>
    <col collapsed="false" customWidth="true" hidden="false" outlineLevel="0" max="12" min="11" style="0" width="12"/>
    <col collapsed="false" customWidth="true" hidden="false" outlineLevel="0" max="14" min="13" style="0" width="16"/>
    <col collapsed="false" customWidth="true" hidden="false" outlineLevel="0" max="15" min="15" style="0" width="14"/>
  </cols>
  <sheetData>
    <row r="1" customFormat="false" ht="17.35" hidden="false" customHeight="false" outlineLevel="0" collapsed="false">
      <c r="A1" s="1" t="s">
        <v>725</v>
      </c>
    </row>
    <row r="2" customFormat="false" ht="15" hidden="false" customHeight="false" outlineLevel="0" collapsed="false">
      <c r="A2" s="8" t="s">
        <v>726</v>
      </c>
    </row>
    <row r="3" customFormat="false" ht="30" hidden="false" customHeight="true" outlineLevel="0" collapsed="false">
      <c r="A3" s="13" t="s">
        <v>347</v>
      </c>
      <c r="B3" s="13" t="s">
        <v>727</v>
      </c>
      <c r="C3" s="13" t="s">
        <v>728</v>
      </c>
      <c r="D3" s="13" t="s">
        <v>729</v>
      </c>
      <c r="E3" s="13" t="s">
        <v>730</v>
      </c>
      <c r="F3" s="13" t="s">
        <v>731</v>
      </c>
      <c r="G3" s="13" t="s">
        <v>732</v>
      </c>
      <c r="H3" s="13" t="s">
        <v>733</v>
      </c>
      <c r="I3" s="13" t="s">
        <v>734</v>
      </c>
      <c r="J3" s="13" t="s">
        <v>353</v>
      </c>
      <c r="K3" s="13" t="s">
        <v>362</v>
      </c>
      <c r="L3" s="13" t="s">
        <v>735</v>
      </c>
      <c r="M3" s="13" t="s">
        <v>736</v>
      </c>
      <c r="N3" s="13" t="s">
        <v>737</v>
      </c>
      <c r="O3" s="13" t="s">
        <v>738</v>
      </c>
    </row>
    <row r="4" customFormat="false" ht="15" hidden="false" customHeight="false" outlineLevel="0" collapsed="false">
      <c r="A4" s="4" t="s">
        <v>268</v>
      </c>
      <c r="B4" s="4" t="s">
        <v>524</v>
      </c>
      <c r="C4" s="15" t="n">
        <v>118.73</v>
      </c>
      <c r="D4" s="32" t="n">
        <v>0</v>
      </c>
      <c r="E4" s="18" t="n">
        <v>1</v>
      </c>
      <c r="F4" s="32" t="n">
        <v>0</v>
      </c>
      <c r="G4" s="24" t="n">
        <v>0.0185</v>
      </c>
      <c r="H4" s="15" t="n">
        <v>0</v>
      </c>
      <c r="I4" s="15" t="n">
        <v>-2.2</v>
      </c>
      <c r="J4" s="15" t="n">
        <f aca="false">-ROUND(C4*G4+E4*H4,2)</f>
        <v>-2.2</v>
      </c>
      <c r="K4" s="15" t="n">
        <f aca="false">ROUND(J4-I4,2)</f>
        <v>0</v>
      </c>
      <c r="L4" s="4" t="str">
        <f aca="false">IF(ABS(K4)&lt;0.005,"OK",IF(ABS(K4)&lt;=0.05,"Rounding","REVIEW"))</f>
        <v>OK</v>
      </c>
      <c r="M4" s="16" t="n">
        <f aca="false">ABS(C4)/SUMPRODUCT(($A$4:$A$143=A4)*ABS($C$4:$C$143))</f>
        <v>4.32106779091536E-005</v>
      </c>
      <c r="N4" s="16" t="n">
        <f aca="false">E4/SUMIFS($E$4:$E$143,$A$4:$A$143,A4)</f>
        <v>0.000304599451720987</v>
      </c>
      <c r="O4" s="4" t="str">
        <f aca="false">IF(AND(ABS(ROUND(M4,2)-D4)&lt;0.0051,ABS(ROUND(N4,2)-F4)&lt;0.0051),"OK","REVIEW")</f>
        <v>OK</v>
      </c>
    </row>
    <row r="5" customFormat="false" ht="15" hidden="false" customHeight="false" outlineLevel="0" collapsed="false">
      <c r="A5" s="4" t="s">
        <v>268</v>
      </c>
      <c r="B5" s="4" t="s">
        <v>543</v>
      </c>
      <c r="C5" s="15" t="n">
        <v>444995.75</v>
      </c>
      <c r="D5" s="32" t="n">
        <v>0.16</v>
      </c>
      <c r="E5" s="18" t="n">
        <v>566</v>
      </c>
      <c r="F5" s="32" t="n">
        <v>0.17</v>
      </c>
      <c r="G5" s="24" t="n">
        <v>0.0225</v>
      </c>
      <c r="H5" s="15" t="n">
        <v>0.1</v>
      </c>
      <c r="I5" s="15" t="n">
        <v>-10069.01</v>
      </c>
      <c r="J5" s="15" t="n">
        <f aca="false">-ROUND(C5*G5+E5*H5,2)</f>
        <v>-10069</v>
      </c>
      <c r="K5" s="15" t="n">
        <f aca="false">ROUND(J5-I5,2)</f>
        <v>0.01</v>
      </c>
      <c r="L5" s="4" t="str">
        <f aca="false">IF(ABS(K5)&lt;0.005,"OK",IF(ABS(K5)&lt;=0.05,"Rounding","REVIEW"))</f>
        <v>Rounding</v>
      </c>
      <c r="M5" s="16" t="n">
        <f aca="false">ABS(C5)/SUMPRODUCT(($A$4:$A$143=A5)*ABS($C$4:$C$143))</f>
        <v>0.161952059497955</v>
      </c>
      <c r="N5" s="16" t="n">
        <f aca="false">E5/SUMIFS($E$4:$E$143,$A$4:$A$143,A5)</f>
        <v>0.172403289674079</v>
      </c>
      <c r="O5" s="4" t="str">
        <f aca="false">IF(AND(ABS(ROUND(M5,2)-D5)&lt;0.0051,ABS(ROUND(N5,2)-F5)&lt;0.0051),"OK","REVIEW")</f>
        <v>OK</v>
      </c>
    </row>
    <row r="6" customFormat="false" ht="15" hidden="false" customHeight="false" outlineLevel="0" collapsed="false">
      <c r="A6" s="4" t="s">
        <v>268</v>
      </c>
      <c r="B6" s="4" t="s">
        <v>739</v>
      </c>
      <c r="C6" s="15" t="n">
        <v>-2363.25</v>
      </c>
      <c r="D6" s="32" t="n">
        <v>0</v>
      </c>
      <c r="E6" s="18" t="n">
        <v>14</v>
      </c>
      <c r="F6" s="32" t="n">
        <v>0</v>
      </c>
      <c r="G6" s="24" t="n">
        <v>0</v>
      </c>
      <c r="H6" s="15" t="n">
        <v>0</v>
      </c>
      <c r="I6" s="15" t="n">
        <v>0</v>
      </c>
      <c r="J6" s="15" t="n">
        <v>0</v>
      </c>
      <c r="K6" s="15" t="n">
        <f aca="false">ROUND(J6-I6,2)</f>
        <v>0</v>
      </c>
      <c r="L6" s="4" t="str">
        <f aca="false">IF(ABS(K6)&lt;0.005,"OK",IF(ABS(K6)&lt;=0.05,"Rounding","REVIEW"))</f>
        <v>OK</v>
      </c>
      <c r="M6" s="16" t="n">
        <f aca="false">ABS(C6)/SUMPRODUCT(($A$4:$A$143=A6)*ABS($C$4:$C$143))</f>
        <v>0.000860082831372082</v>
      </c>
      <c r="N6" s="16" t="n">
        <f aca="false">E6/SUMIFS($E$4:$E$143,$A$4:$A$143,A6)</f>
        <v>0.00426439232409382</v>
      </c>
      <c r="O6" s="4" t="str">
        <f aca="false">IF(AND(ABS(ROUND(M6,2)-D6)&lt;0.0051,ABS(ROUND(N6,2)-F6)&lt;0.0051),"OK","REVIEW")</f>
        <v>OK</v>
      </c>
    </row>
    <row r="7" customFormat="false" ht="15" hidden="false" customHeight="false" outlineLevel="0" collapsed="false">
      <c r="A7" s="4" t="s">
        <v>268</v>
      </c>
      <c r="B7" s="4" t="s">
        <v>530</v>
      </c>
      <c r="C7" s="15" t="n">
        <v>31954.35</v>
      </c>
      <c r="D7" s="32" t="n">
        <v>0.01</v>
      </c>
      <c r="E7" s="18" t="n">
        <v>14</v>
      </c>
      <c r="F7" s="32" t="n">
        <v>0</v>
      </c>
      <c r="G7" s="24" t="n">
        <v>0.0295</v>
      </c>
      <c r="H7" s="15" t="n">
        <v>0.1</v>
      </c>
      <c r="I7" s="15" t="n">
        <v>-944.05</v>
      </c>
      <c r="J7" s="15" t="n">
        <f aca="false">-ROUND(C7*G7+E7*H7,2)</f>
        <v>-944.05</v>
      </c>
      <c r="K7" s="15" t="n">
        <f aca="false">ROUND(J7-I7,2)</f>
        <v>0</v>
      </c>
      <c r="L7" s="4" t="str">
        <f aca="false">IF(ABS(K7)&lt;0.005,"OK",IF(ABS(K7)&lt;=0.05,"Rounding","REVIEW"))</f>
        <v>OK</v>
      </c>
      <c r="M7" s="16" t="n">
        <f aca="false">ABS(C7)/SUMPRODUCT(($A$4:$A$143=A7)*ABS($C$4:$C$143))</f>
        <v>0.0116294881297596</v>
      </c>
      <c r="N7" s="16" t="n">
        <f aca="false">E7/SUMIFS($E$4:$E$143,$A$4:$A$143,A7)</f>
        <v>0.00426439232409382</v>
      </c>
      <c r="O7" s="4" t="str">
        <f aca="false">IF(AND(ABS(ROUND(M7,2)-D7)&lt;0.0051,ABS(ROUND(N7,2)-F7)&lt;0.0051),"OK","REVIEW")</f>
        <v>OK</v>
      </c>
    </row>
    <row r="8" customFormat="false" ht="15" hidden="false" customHeight="false" outlineLevel="0" collapsed="false">
      <c r="A8" s="4" t="s">
        <v>268</v>
      </c>
      <c r="B8" s="4" t="s">
        <v>521</v>
      </c>
      <c r="C8" s="15" t="n">
        <v>3.99</v>
      </c>
      <c r="D8" s="32" t="n">
        <v>0</v>
      </c>
      <c r="E8" s="18" t="n">
        <v>1</v>
      </c>
      <c r="F8" s="32" t="n">
        <v>0</v>
      </c>
      <c r="G8" s="24" t="n">
        <v>0.023</v>
      </c>
      <c r="H8" s="15" t="n">
        <v>0.02</v>
      </c>
      <c r="I8" s="15" t="n">
        <v>-0.11</v>
      </c>
      <c r="J8" s="15" t="n">
        <f aca="false">-ROUND(C8*G8+E8*H8,2)</f>
        <v>-0.11</v>
      </c>
      <c r="K8" s="15" t="n">
        <f aca="false">ROUND(J8-I8,2)</f>
        <v>0</v>
      </c>
      <c r="L8" s="4" t="str">
        <f aca="false">IF(ABS(K8)&lt;0.005,"OK",IF(ABS(K8)&lt;=0.05,"Rounding","REVIEW"))</f>
        <v>OK</v>
      </c>
      <c r="M8" s="16" t="n">
        <f aca="false">ABS(C8)/SUMPRODUCT(($A$4:$A$143=A8)*ABS($C$4:$C$143))</f>
        <v>1.45212334589003E-006</v>
      </c>
      <c r="N8" s="16" t="n">
        <f aca="false">E8/SUMIFS($E$4:$E$143,$A$4:$A$143,A8)</f>
        <v>0.000304599451720987</v>
      </c>
      <c r="O8" s="4" t="str">
        <f aca="false">IF(AND(ABS(ROUND(M8,2)-D8)&lt;0.0051,ABS(ROUND(N8,2)-F8)&lt;0.0051),"OK","REVIEW")</f>
        <v>OK</v>
      </c>
    </row>
    <row r="9" customFormat="false" ht="15" hidden="false" customHeight="false" outlineLevel="0" collapsed="false">
      <c r="A9" s="4" t="s">
        <v>268</v>
      </c>
      <c r="B9" s="4" t="s">
        <v>526</v>
      </c>
      <c r="C9" s="15" t="n">
        <v>67263.59</v>
      </c>
      <c r="D9" s="32" t="n">
        <v>0.02</v>
      </c>
      <c r="E9" s="18" t="n">
        <v>48</v>
      </c>
      <c r="F9" s="32" t="n">
        <v>0.01</v>
      </c>
      <c r="G9" s="24" t="n">
        <v>0.0265</v>
      </c>
      <c r="H9" s="15" t="n">
        <v>0.1</v>
      </c>
      <c r="I9" s="15" t="n">
        <v>-1787.29</v>
      </c>
      <c r="J9" s="15" t="n">
        <f aca="false">-ROUND(C9*G9+E9*H9,2)</f>
        <v>-1787.29</v>
      </c>
      <c r="K9" s="15" t="n">
        <f aca="false">ROUND(J9-I9,2)</f>
        <v>0</v>
      </c>
      <c r="L9" s="4" t="str">
        <f aca="false">IF(ABS(K9)&lt;0.005,"OK",IF(ABS(K9)&lt;=0.05,"Rounding","REVIEW"))</f>
        <v>OK</v>
      </c>
      <c r="M9" s="16" t="n">
        <f aca="false">ABS(C9)/SUMPRODUCT(($A$4:$A$143=A9)*ABS($C$4:$C$143))</f>
        <v>0.0244799572349311</v>
      </c>
      <c r="N9" s="16" t="n">
        <f aca="false">E9/SUMIFS($E$4:$E$143,$A$4:$A$143,A9)</f>
        <v>0.0146207736826074</v>
      </c>
      <c r="O9" s="4" t="str">
        <f aca="false">IF(AND(ABS(ROUND(M9,2)-D9)&lt;0.0051,ABS(ROUND(N9,2)-F9)&lt;0.0051),"OK","REVIEW")</f>
        <v>OK</v>
      </c>
    </row>
    <row r="10" customFormat="false" ht="15" hidden="false" customHeight="false" outlineLevel="0" collapsed="false">
      <c r="A10" s="4" t="s">
        <v>268</v>
      </c>
      <c r="B10" s="4" t="s">
        <v>534</v>
      </c>
      <c r="C10" s="15" t="n">
        <v>237202.26</v>
      </c>
      <c r="D10" s="32" t="n">
        <v>0.09</v>
      </c>
      <c r="E10" s="18" t="n">
        <v>89</v>
      </c>
      <c r="F10" s="32" t="n">
        <v>0.03</v>
      </c>
      <c r="G10" s="24" t="n">
        <v>0.03</v>
      </c>
      <c r="H10" s="15" t="n">
        <v>0.1</v>
      </c>
      <c r="I10" s="15" t="n">
        <v>-7124.97</v>
      </c>
      <c r="J10" s="15" t="n">
        <f aca="false">-ROUND(C10*G10+E10*H10,2)</f>
        <v>-7124.97</v>
      </c>
      <c r="K10" s="15" t="n">
        <f aca="false">ROUND(J10-I10,2)</f>
        <v>0</v>
      </c>
      <c r="L10" s="4" t="str">
        <f aca="false">IF(ABS(K10)&lt;0.005,"OK",IF(ABS(K10)&lt;=0.05,"Rounding","REVIEW"))</f>
        <v>OK</v>
      </c>
      <c r="M10" s="16" t="n">
        <f aca="false">ABS(C10)/SUMPRODUCT(($A$4:$A$143=A10)*ABS($C$4:$C$143))</f>
        <v>0.0863275537453324</v>
      </c>
      <c r="N10" s="16" t="n">
        <f aca="false">E10/SUMIFS($E$4:$E$143,$A$4:$A$143,A10)</f>
        <v>0.0271093512031678</v>
      </c>
      <c r="O10" s="4" t="str">
        <f aca="false">IF(AND(ABS(ROUND(M10,2)-D10)&lt;0.0051,ABS(ROUND(N10,2)-F10)&lt;0.0051),"OK","REVIEW")</f>
        <v>OK</v>
      </c>
    </row>
    <row r="11" customFormat="false" ht="15" hidden="false" customHeight="false" outlineLevel="0" collapsed="false">
      <c r="A11" s="4" t="s">
        <v>268</v>
      </c>
      <c r="B11" s="4" t="s">
        <v>740</v>
      </c>
      <c r="C11" s="15" t="n">
        <v>-33828.89</v>
      </c>
      <c r="D11" s="32" t="n">
        <v>0.01</v>
      </c>
      <c r="E11" s="18" t="n">
        <v>68</v>
      </c>
      <c r="F11" s="32" t="n">
        <v>0.02</v>
      </c>
      <c r="G11" s="24" t="n">
        <v>0</v>
      </c>
      <c r="H11" s="15" t="n">
        <v>0</v>
      </c>
      <c r="I11" s="15" t="n">
        <v>0</v>
      </c>
      <c r="J11" s="15" t="n">
        <v>0</v>
      </c>
      <c r="K11" s="15" t="n">
        <f aca="false">ROUND(J11-I11,2)</f>
        <v>0</v>
      </c>
      <c r="L11" s="4" t="str">
        <f aca="false">IF(ABS(K11)&lt;0.005,"OK",IF(ABS(K11)&lt;=0.05,"Rounding","REVIEW"))</f>
        <v>OK</v>
      </c>
      <c r="M11" s="16" t="n">
        <f aca="false">ABS(C11)/SUMPRODUCT(($A$4:$A$143=A11)*ABS($C$4:$C$143))</f>
        <v>0.0123117095074049</v>
      </c>
      <c r="N11" s="16" t="n">
        <f aca="false">E11/SUMIFS($E$4:$E$143,$A$4:$A$143,A11)</f>
        <v>0.0207127627170271</v>
      </c>
      <c r="O11" s="4" t="str">
        <f aca="false">IF(AND(ABS(ROUND(M11,2)-D11)&lt;0.0051,ABS(ROUND(N11,2)-F11)&lt;0.0051),"OK","REVIEW")</f>
        <v>OK</v>
      </c>
    </row>
    <row r="12" customFormat="false" ht="15" hidden="false" customHeight="false" outlineLevel="0" collapsed="false">
      <c r="A12" s="4" t="s">
        <v>268</v>
      </c>
      <c r="B12" s="4" t="s">
        <v>741</v>
      </c>
      <c r="C12" s="15" t="n">
        <v>-380.95</v>
      </c>
      <c r="D12" s="32" t="n">
        <v>0</v>
      </c>
      <c r="E12" s="18" t="n">
        <v>1</v>
      </c>
      <c r="F12" s="32" t="n">
        <v>0</v>
      </c>
      <c r="G12" s="24" t="n">
        <v>0</v>
      </c>
      <c r="H12" s="15" t="n">
        <v>0</v>
      </c>
      <c r="I12" s="15" t="n">
        <v>0</v>
      </c>
      <c r="J12" s="15" t="n">
        <v>0</v>
      </c>
      <c r="K12" s="15" t="n">
        <f aca="false">ROUND(J12-I12,2)</f>
        <v>0</v>
      </c>
      <c r="L12" s="4" t="str">
        <f aca="false">IF(ABS(K12)&lt;0.005,"OK",IF(ABS(K12)&lt;=0.05,"Rounding","REVIEW"))</f>
        <v>OK</v>
      </c>
      <c r="M12" s="16" t="n">
        <f aca="false">ABS(C12)/SUMPRODUCT(($A$4:$A$143=A12)*ABS($C$4:$C$143))</f>
        <v>0.000138643205167119</v>
      </c>
      <c r="N12" s="16" t="n">
        <f aca="false">E12/SUMIFS($E$4:$E$143,$A$4:$A$143,A12)</f>
        <v>0.000304599451720987</v>
      </c>
      <c r="O12" s="4" t="str">
        <f aca="false">IF(AND(ABS(ROUND(M12,2)-D12)&lt;0.0051,ABS(ROUND(N12,2)-F12)&lt;0.0051),"OK","REVIEW")</f>
        <v>OK</v>
      </c>
    </row>
    <row r="13" customFormat="false" ht="15" hidden="false" customHeight="false" outlineLevel="0" collapsed="false">
      <c r="A13" s="4" t="s">
        <v>268</v>
      </c>
      <c r="B13" s="4" t="s">
        <v>551</v>
      </c>
      <c r="C13" s="15" t="n">
        <v>1451.01</v>
      </c>
      <c r="D13" s="32" t="n">
        <v>0</v>
      </c>
      <c r="E13" s="18" t="n">
        <v>5</v>
      </c>
      <c r="F13" s="32" t="n">
        <v>0</v>
      </c>
      <c r="G13" s="24" t="n">
        <v>0.028</v>
      </c>
      <c r="H13" s="15" t="n">
        <v>0.1</v>
      </c>
      <c r="I13" s="15" t="n">
        <v>-41.13</v>
      </c>
      <c r="J13" s="15" t="n">
        <f aca="false">-ROUND(C13*G13+E13*H13,2)</f>
        <v>-41.13</v>
      </c>
      <c r="K13" s="15" t="n">
        <f aca="false">ROUND(J13-I13,2)</f>
        <v>0</v>
      </c>
      <c r="L13" s="4" t="str">
        <f aca="false">IF(ABS(K13)&lt;0.005,"OK",IF(ABS(K13)&lt;=0.05,"Rounding","REVIEW"))</f>
        <v>OK</v>
      </c>
      <c r="M13" s="16" t="n">
        <f aca="false">ABS(C13)/SUMPRODUCT(($A$4:$A$143=A13)*ABS($C$4:$C$143))</f>
        <v>0.000528081577974909</v>
      </c>
      <c r="N13" s="16" t="n">
        <f aca="false">E13/SUMIFS($E$4:$E$143,$A$4:$A$143,A13)</f>
        <v>0.00152299725860493</v>
      </c>
      <c r="O13" s="4" t="str">
        <f aca="false">IF(AND(ABS(ROUND(M13,2)-D13)&lt;0.0051,ABS(ROUND(N13,2)-F13)&lt;0.0051),"OK","REVIEW")</f>
        <v>OK</v>
      </c>
    </row>
    <row r="14" customFormat="false" ht="15" hidden="false" customHeight="false" outlineLevel="0" collapsed="false">
      <c r="A14" s="4" t="s">
        <v>268</v>
      </c>
      <c r="B14" s="4" t="s">
        <v>540</v>
      </c>
      <c r="C14" s="15" t="n">
        <v>866.67</v>
      </c>
      <c r="D14" s="32" t="n">
        <v>0</v>
      </c>
      <c r="E14" s="18" t="n">
        <v>1</v>
      </c>
      <c r="F14" s="32" t="n">
        <v>0</v>
      </c>
      <c r="G14" s="24" t="n">
        <v>0.02</v>
      </c>
      <c r="H14" s="15" t="n">
        <v>0</v>
      </c>
      <c r="I14" s="15" t="n">
        <v>-17.33</v>
      </c>
      <c r="J14" s="15" t="n">
        <f aca="false">-ROUND(C14*G14+E14*H14,2)</f>
        <v>-17.33</v>
      </c>
      <c r="K14" s="15" t="n">
        <f aca="false">ROUND(J14-I14,2)</f>
        <v>0</v>
      </c>
      <c r="L14" s="4" t="str">
        <f aca="false">IF(ABS(K14)&lt;0.005,"OK",IF(ABS(K14)&lt;=0.05,"Rounding","REVIEW"))</f>
        <v>OK</v>
      </c>
      <c r="M14" s="16" t="n">
        <f aca="false">ABS(C14)/SUMPRODUCT(($A$4:$A$143=A14)*ABS($C$4:$C$143))</f>
        <v>0.000315416476236218</v>
      </c>
      <c r="N14" s="16" t="n">
        <f aca="false">E14/SUMIFS($E$4:$E$143,$A$4:$A$143,A14)</f>
        <v>0.000304599451720987</v>
      </c>
      <c r="O14" s="4" t="str">
        <f aca="false">IF(AND(ABS(ROUND(M14,2)-D14)&lt;0.0051,ABS(ROUND(N14,2)-F14)&lt;0.0051),"OK","REVIEW")</f>
        <v>OK</v>
      </c>
    </row>
    <row r="15" customFormat="false" ht="15" hidden="false" customHeight="false" outlineLevel="0" collapsed="false">
      <c r="A15" s="4" t="s">
        <v>268</v>
      </c>
      <c r="B15" s="4" t="s">
        <v>528</v>
      </c>
      <c r="C15" s="15" t="n">
        <v>12743.93</v>
      </c>
      <c r="D15" s="32" t="n">
        <v>0</v>
      </c>
      <c r="E15" s="18" t="n">
        <v>18</v>
      </c>
      <c r="F15" s="32" t="n">
        <v>0.01</v>
      </c>
      <c r="G15" s="24" t="n">
        <v>0.025</v>
      </c>
      <c r="H15" s="15" t="n">
        <v>0.1</v>
      </c>
      <c r="I15" s="15" t="n">
        <v>-320.41</v>
      </c>
      <c r="J15" s="15" t="n">
        <f aca="false">-ROUND(C15*G15+E15*H15,2)</f>
        <v>-320.4</v>
      </c>
      <c r="K15" s="15" t="n">
        <f aca="false">ROUND(J15-I15,2)</f>
        <v>0.01</v>
      </c>
      <c r="L15" s="4" t="str">
        <f aca="false">IF(ABS(K15)&lt;0.005,"OK",IF(ABS(K15)&lt;=0.05,"Rounding","REVIEW"))</f>
        <v>Rounding</v>
      </c>
      <c r="M15" s="16" t="n">
        <f aca="false">ABS(C15)/SUMPRODUCT(($A$4:$A$143=A15)*ABS($C$4:$C$143))</f>
        <v>0.00463803465448328</v>
      </c>
      <c r="N15" s="16" t="n">
        <f aca="false">E15/SUMIFS($E$4:$E$143,$A$4:$A$143,A15)</f>
        <v>0.00548279013097777</v>
      </c>
      <c r="O15" s="4" t="str">
        <f aca="false">IF(AND(ABS(ROUND(M15,2)-D15)&lt;0.0051,ABS(ROUND(N15,2)-F15)&lt;0.0051),"OK","REVIEW")</f>
        <v>OK</v>
      </c>
    </row>
    <row r="16" customFormat="false" ht="15" hidden="false" customHeight="false" outlineLevel="0" collapsed="false">
      <c r="A16" s="4" t="s">
        <v>268</v>
      </c>
      <c r="B16" s="4" t="s">
        <v>545</v>
      </c>
      <c r="C16" s="15" t="n">
        <v>27424.38</v>
      </c>
      <c r="D16" s="32" t="n">
        <v>0.01</v>
      </c>
      <c r="E16" s="18" t="n">
        <v>16</v>
      </c>
      <c r="F16" s="32" t="n">
        <v>0</v>
      </c>
      <c r="G16" s="24" t="n">
        <v>0.0295</v>
      </c>
      <c r="H16" s="15" t="n">
        <v>0.1</v>
      </c>
      <c r="I16" s="15" t="n">
        <v>-810.63</v>
      </c>
      <c r="J16" s="15" t="n">
        <f aca="false">-ROUND(C16*G16+E16*H16,2)</f>
        <v>-810.62</v>
      </c>
      <c r="K16" s="15" t="n">
        <f aca="false">ROUND(J16-I16,2)</f>
        <v>0.01</v>
      </c>
      <c r="L16" s="4" t="str">
        <f aca="false">IF(ABS(K16)&lt;0.005,"OK",IF(ABS(K16)&lt;=0.05,"Rounding","REVIEW"))</f>
        <v>Rounding</v>
      </c>
      <c r="M16" s="16" t="n">
        <f aca="false">ABS(C16)/SUMPRODUCT(($A$4:$A$143=A16)*ABS($C$4:$C$143))</f>
        <v>0.00998084773046605</v>
      </c>
      <c r="N16" s="16" t="n">
        <f aca="false">E16/SUMIFS($E$4:$E$143,$A$4:$A$143,A16)</f>
        <v>0.00487359122753579</v>
      </c>
      <c r="O16" s="4" t="str">
        <f aca="false">IF(AND(ABS(ROUND(M16,2)-D16)&lt;0.0051,ABS(ROUND(N16,2)-F16)&lt;0.0051),"OK","REVIEW")</f>
        <v>OK</v>
      </c>
    </row>
    <row r="17" customFormat="false" ht="15" hidden="false" customHeight="false" outlineLevel="0" collapsed="false">
      <c r="A17" s="4" t="s">
        <v>268</v>
      </c>
      <c r="B17" s="4" t="s">
        <v>535</v>
      </c>
      <c r="C17" s="15" t="n">
        <v>18690.81</v>
      </c>
      <c r="D17" s="32" t="n">
        <v>0.01</v>
      </c>
      <c r="E17" s="18" t="n">
        <v>55</v>
      </c>
      <c r="F17" s="32" t="n">
        <v>0.02</v>
      </c>
      <c r="G17" s="24" t="n">
        <v>0.019</v>
      </c>
      <c r="H17" s="15" t="n">
        <v>0.1</v>
      </c>
      <c r="I17" s="15" t="n">
        <v>-360.62</v>
      </c>
      <c r="J17" s="15" t="n">
        <f aca="false">-ROUND(C17*G17+E17*H17,2)</f>
        <v>-360.63</v>
      </c>
      <c r="K17" s="15" t="n">
        <f aca="false">ROUND(J17-I17,2)</f>
        <v>-0.01</v>
      </c>
      <c r="L17" s="4" t="str">
        <f aca="false">IF(ABS(K17)&lt;0.005,"OK",IF(ABS(K17)&lt;=0.05,"Rounding","REVIEW"))</f>
        <v>Rounding</v>
      </c>
      <c r="M17" s="16" t="n">
        <f aca="false">ABS(C17)/SUMPRODUCT(($A$4:$A$143=A17)*ABS($C$4:$C$143))</f>
        <v>0.00680234625428441</v>
      </c>
      <c r="N17" s="16" t="n">
        <f aca="false">E17/SUMIFS($E$4:$E$143,$A$4:$A$143,A17)</f>
        <v>0.0167529698446543</v>
      </c>
      <c r="O17" s="4" t="str">
        <f aca="false">IF(AND(ABS(ROUND(M17,2)-D17)&lt;0.0051,ABS(ROUND(N17,2)-F17)&lt;0.0051),"OK","REVIEW")</f>
        <v>OK</v>
      </c>
    </row>
    <row r="18" customFormat="false" ht="15" hidden="false" customHeight="false" outlineLevel="0" collapsed="false">
      <c r="A18" s="4" t="s">
        <v>268</v>
      </c>
      <c r="B18" s="4" t="s">
        <v>742</v>
      </c>
      <c r="C18" s="15" t="n">
        <v>-258.08</v>
      </c>
      <c r="D18" s="32" t="n">
        <v>0</v>
      </c>
      <c r="E18" s="18" t="n">
        <v>5</v>
      </c>
      <c r="F18" s="32" t="n">
        <v>0</v>
      </c>
      <c r="G18" s="24" t="n">
        <v>0</v>
      </c>
      <c r="H18" s="15" t="n">
        <v>0</v>
      </c>
      <c r="I18" s="15" t="n">
        <v>0</v>
      </c>
      <c r="J18" s="15" t="n">
        <v>0</v>
      </c>
      <c r="K18" s="15" t="n">
        <f aca="false">ROUND(J18-I18,2)</f>
        <v>0</v>
      </c>
      <c r="L18" s="4" t="str">
        <f aca="false">IF(ABS(K18)&lt;0.005,"OK",IF(ABS(K18)&lt;=0.05,"Rounding","REVIEW"))</f>
        <v>OK</v>
      </c>
      <c r="M18" s="16" t="n">
        <f aca="false">ABS(C18)/SUMPRODUCT(($A$4:$A$143=A18)*ABS($C$4:$C$143))</f>
        <v>9.39258128088467E-005</v>
      </c>
      <c r="N18" s="16" t="n">
        <f aca="false">E18/SUMIFS($E$4:$E$143,$A$4:$A$143,A18)</f>
        <v>0.00152299725860493</v>
      </c>
      <c r="O18" s="4" t="str">
        <f aca="false">IF(AND(ABS(ROUND(M18,2)-D18)&lt;0.0051,ABS(ROUND(N18,2)-F18)&lt;0.0051),"OK","REVIEW")</f>
        <v>OK</v>
      </c>
    </row>
    <row r="19" customFormat="false" ht="15" hidden="false" customHeight="false" outlineLevel="0" collapsed="false">
      <c r="A19" s="4" t="s">
        <v>268</v>
      </c>
      <c r="B19" s="4" t="s">
        <v>542</v>
      </c>
      <c r="C19" s="15" t="n">
        <v>38236.77</v>
      </c>
      <c r="D19" s="32" t="n">
        <v>0.01</v>
      </c>
      <c r="E19" s="18" t="n">
        <v>163</v>
      </c>
      <c r="F19" s="32" t="n">
        <v>0.05</v>
      </c>
      <c r="G19" s="24" t="n">
        <v>0.0105</v>
      </c>
      <c r="H19" s="15" t="n">
        <v>0.15</v>
      </c>
      <c r="I19" s="15" t="n">
        <v>-425.96</v>
      </c>
      <c r="J19" s="15" t="n">
        <f aca="false">-ROUND(C19*G19+E19*H19,2)</f>
        <v>-425.94</v>
      </c>
      <c r="K19" s="15" t="n">
        <f aca="false">ROUND(J19-I19,2)</f>
        <v>0.02</v>
      </c>
      <c r="L19" s="4" t="str">
        <f aca="false">IF(ABS(K19)&lt;0.005,"OK",IF(ABS(K19)&lt;=0.05,"Rounding","REVIEW"))</f>
        <v>Rounding</v>
      </c>
      <c r="M19" s="16" t="n">
        <f aca="false">ABS(C19)/SUMPRODUCT(($A$4:$A$143=A19)*ABS($C$4:$C$143))</f>
        <v>0.013915916388077</v>
      </c>
      <c r="N19" s="16" t="n">
        <f aca="false">E19/SUMIFS($E$4:$E$143,$A$4:$A$143,A19)</f>
        <v>0.0496497106305209</v>
      </c>
      <c r="O19" s="4" t="str">
        <f aca="false">IF(AND(ABS(ROUND(M19,2)-D19)&lt;0.0051,ABS(ROUND(N19,2)-F19)&lt;0.0051),"OK","REVIEW")</f>
        <v>OK</v>
      </c>
    </row>
    <row r="20" customFormat="false" ht="15" hidden="false" customHeight="false" outlineLevel="0" collapsed="false">
      <c r="A20" s="4" t="s">
        <v>268</v>
      </c>
      <c r="B20" s="4" t="s">
        <v>538</v>
      </c>
      <c r="C20" s="15" t="n">
        <v>29838.89</v>
      </c>
      <c r="D20" s="32" t="n">
        <v>0.01</v>
      </c>
      <c r="E20" s="18" t="n">
        <v>5</v>
      </c>
      <c r="F20" s="32" t="n">
        <v>0</v>
      </c>
      <c r="G20" s="24" t="n">
        <v>0.0285</v>
      </c>
      <c r="H20" s="15" t="n">
        <v>0.1</v>
      </c>
      <c r="I20" s="15" t="n">
        <v>-850.91</v>
      </c>
      <c r="J20" s="15" t="n">
        <f aca="false">-ROUND(C20*G20+E20*H20,2)</f>
        <v>-850.91</v>
      </c>
      <c r="K20" s="15" t="n">
        <f aca="false">ROUND(J20-I20,2)</f>
        <v>0</v>
      </c>
      <c r="L20" s="4" t="str">
        <f aca="false">IF(ABS(K20)&lt;0.005,"OK",IF(ABS(K20)&lt;=0.05,"Rounding","REVIEW"))</f>
        <v>OK</v>
      </c>
      <c r="M20" s="16" t="n">
        <f aca="false">ABS(C20)/SUMPRODUCT(($A$4:$A$143=A20)*ABS($C$4:$C$143))</f>
        <v>0.0108595861615149</v>
      </c>
      <c r="N20" s="16" t="n">
        <f aca="false">E20/SUMIFS($E$4:$E$143,$A$4:$A$143,A20)</f>
        <v>0.00152299725860493</v>
      </c>
      <c r="O20" s="4" t="str">
        <f aca="false">IF(AND(ABS(ROUND(M20,2)-D20)&lt;0.0051,ABS(ROUND(N20,2)-F20)&lt;0.0051),"OK","REVIEW")</f>
        <v>OK</v>
      </c>
    </row>
    <row r="21" customFormat="false" ht="15" hidden="false" customHeight="false" outlineLevel="0" collapsed="false">
      <c r="A21" s="4" t="s">
        <v>268</v>
      </c>
      <c r="B21" s="4" t="s">
        <v>522</v>
      </c>
      <c r="C21" s="15" t="n">
        <v>185741.8</v>
      </c>
      <c r="D21" s="32" t="n">
        <v>0.07</v>
      </c>
      <c r="E21" s="18" t="n">
        <v>284</v>
      </c>
      <c r="F21" s="32" t="n">
        <v>0.09</v>
      </c>
      <c r="G21" s="24" t="n">
        <v>0.021</v>
      </c>
      <c r="H21" s="15" t="n">
        <v>0.1</v>
      </c>
      <c r="I21" s="15" t="n">
        <v>-3928.98</v>
      </c>
      <c r="J21" s="15" t="n">
        <f aca="false">-ROUND(C21*G21+E21*H21,2)</f>
        <v>-3928.98</v>
      </c>
      <c r="K21" s="15" t="n">
        <f aca="false">ROUND(J21-I21,2)</f>
        <v>0</v>
      </c>
      <c r="L21" s="4" t="str">
        <f aca="false">IF(ABS(K21)&lt;0.005,"OK",IF(ABS(K21)&lt;=0.05,"Rounding","REVIEW"))</f>
        <v>OK</v>
      </c>
      <c r="M21" s="16" t="n">
        <f aca="false">ABS(C21)/SUMPRODUCT(($A$4:$A$143=A21)*ABS($C$4:$C$143))</f>
        <v>0.0675989985182046</v>
      </c>
      <c r="N21" s="16" t="n">
        <f aca="false">E21/SUMIFS($E$4:$E$143,$A$4:$A$143,A21)</f>
        <v>0.0865062442887603</v>
      </c>
      <c r="O21" s="4" t="str">
        <f aca="false">IF(AND(ABS(ROUND(M21,2)-D21)&lt;0.0051,ABS(ROUND(N21,2)-F21)&lt;0.0051),"OK","REVIEW")</f>
        <v>OK</v>
      </c>
    </row>
    <row r="22" customFormat="false" ht="15" hidden="false" customHeight="false" outlineLevel="0" collapsed="false">
      <c r="A22" s="4" t="s">
        <v>268</v>
      </c>
      <c r="B22" s="4" t="s">
        <v>529</v>
      </c>
      <c r="C22" s="15" t="n">
        <v>2.42</v>
      </c>
      <c r="D22" s="32" t="n">
        <v>0</v>
      </c>
      <c r="E22" s="18" t="n">
        <v>1</v>
      </c>
      <c r="F22" s="32" t="n">
        <v>0</v>
      </c>
      <c r="G22" s="24" t="n">
        <v>0.026</v>
      </c>
      <c r="H22" s="15" t="n">
        <v>0.02</v>
      </c>
      <c r="I22" s="15" t="n">
        <v>-0.08</v>
      </c>
      <c r="J22" s="15" t="n">
        <f aca="false">-ROUND(C22*G22+E22*H22,2)</f>
        <v>-0.08</v>
      </c>
      <c r="K22" s="15" t="n">
        <f aca="false">ROUND(J22-I22,2)</f>
        <v>0</v>
      </c>
      <c r="L22" s="4" t="str">
        <f aca="false">IF(ABS(K22)&lt;0.005,"OK",IF(ABS(K22)&lt;=0.05,"Rounding","REVIEW"))</f>
        <v>OK</v>
      </c>
      <c r="M22" s="16" t="n">
        <f aca="false">ABS(C22)/SUMPRODUCT(($A$4:$A$143=A22)*ABS($C$4:$C$143))</f>
        <v>8.80736465427034E-007</v>
      </c>
      <c r="N22" s="16" t="n">
        <f aca="false">E22/SUMIFS($E$4:$E$143,$A$4:$A$143,A22)</f>
        <v>0.000304599451720987</v>
      </c>
      <c r="O22" s="4" t="str">
        <f aca="false">IF(AND(ABS(ROUND(M22,2)-D22)&lt;0.0051,ABS(ROUND(N22,2)-F22)&lt;0.0051),"OK","REVIEW")</f>
        <v>OK</v>
      </c>
    </row>
    <row r="23" customFormat="false" ht="15" hidden="false" customHeight="false" outlineLevel="0" collapsed="false">
      <c r="A23" s="4" t="s">
        <v>268</v>
      </c>
      <c r="B23" s="4" t="s">
        <v>743</v>
      </c>
      <c r="C23" s="15" t="n">
        <v>-14989.23</v>
      </c>
      <c r="D23" s="32" t="n">
        <v>0.01</v>
      </c>
      <c r="E23" s="18" t="n">
        <v>43</v>
      </c>
      <c r="F23" s="32" t="n">
        <v>0.01</v>
      </c>
      <c r="G23" s="24" t="n">
        <v>0</v>
      </c>
      <c r="H23" s="15" t="n">
        <v>0</v>
      </c>
      <c r="I23" s="15" t="n">
        <v>0</v>
      </c>
      <c r="J23" s="15" t="n">
        <v>0</v>
      </c>
      <c r="K23" s="15" t="n">
        <f aca="false">ROUND(J23-I23,2)</f>
        <v>0</v>
      </c>
      <c r="L23" s="4" t="str">
        <f aca="false">IF(ABS(K23)&lt;0.005,"OK",IF(ABS(K23)&lt;=0.05,"Rounding","REVIEW"))</f>
        <v>OK</v>
      </c>
      <c r="M23" s="16" t="n">
        <f aca="false">ABS(C23)/SUMPRODUCT(($A$4:$A$143=A23)*ABS($C$4:$C$143))</f>
        <v>0.005455190681683</v>
      </c>
      <c r="N23" s="16" t="n">
        <f aca="false">E23/SUMIFS($E$4:$E$143,$A$4:$A$143,A23)</f>
        <v>0.0130977764240024</v>
      </c>
      <c r="O23" s="4" t="str">
        <f aca="false">IF(AND(ABS(ROUND(M23,2)-D23)&lt;0.0051,ABS(ROUND(N23,2)-F23)&lt;0.0051),"OK","REVIEW")</f>
        <v>OK</v>
      </c>
    </row>
    <row r="24" customFormat="false" ht="15" hidden="false" customHeight="false" outlineLevel="0" collapsed="false">
      <c r="A24" s="4" t="s">
        <v>268</v>
      </c>
      <c r="B24" s="4" t="s">
        <v>515</v>
      </c>
      <c r="C24" s="15" t="n">
        <v>115871.6</v>
      </c>
      <c r="D24" s="32" t="n">
        <v>0.04</v>
      </c>
      <c r="E24" s="18" t="n">
        <v>56</v>
      </c>
      <c r="F24" s="32" t="n">
        <v>0.02</v>
      </c>
      <c r="G24" s="24" t="n">
        <v>0.027</v>
      </c>
      <c r="H24" s="15" t="n">
        <v>0.1</v>
      </c>
      <c r="I24" s="15" t="n">
        <v>-3134.14</v>
      </c>
      <c r="J24" s="15" t="n">
        <f aca="false">-ROUND(C24*G24+E24*H24,2)</f>
        <v>-3134.13</v>
      </c>
      <c r="K24" s="15" t="n">
        <f aca="false">ROUND(J24-I24,2)</f>
        <v>0.01</v>
      </c>
      <c r="L24" s="4" t="str">
        <f aca="false">IF(ABS(K24)&lt;0.005,"OK",IF(ABS(K24)&lt;=0.05,"Rounding","REVIEW"))</f>
        <v>Rounding</v>
      </c>
      <c r="M24" s="16" t="n">
        <f aca="false">ABS(C24)/SUMPRODUCT(($A$4:$A$143=A24)*ABS($C$4:$C$143))</f>
        <v>0.0421703898460228</v>
      </c>
      <c r="N24" s="16" t="n">
        <f aca="false">E24/SUMIFS($E$4:$E$143,$A$4:$A$143,A24)</f>
        <v>0.0170575692963753</v>
      </c>
      <c r="O24" s="4" t="str">
        <f aca="false">IF(AND(ABS(ROUND(M24,2)-D24)&lt;0.0051,ABS(ROUND(N24,2)-F24)&lt;0.0051),"OK","REVIEW")</f>
        <v>OK</v>
      </c>
    </row>
    <row r="25" customFormat="false" ht="15" hidden="false" customHeight="false" outlineLevel="0" collapsed="false">
      <c r="A25" s="4" t="s">
        <v>268</v>
      </c>
      <c r="B25" s="4" t="s">
        <v>552</v>
      </c>
      <c r="C25" s="15" t="n">
        <v>6647.78</v>
      </c>
      <c r="D25" s="32" t="n">
        <v>0</v>
      </c>
      <c r="E25" s="18" t="n">
        <v>3</v>
      </c>
      <c r="F25" s="32" t="n">
        <v>0</v>
      </c>
      <c r="G25" s="24" t="n">
        <v>0.0195</v>
      </c>
      <c r="H25" s="15" t="n">
        <v>0.1</v>
      </c>
      <c r="I25" s="15" t="n">
        <v>-129.93</v>
      </c>
      <c r="J25" s="15" t="n">
        <f aca="false">-ROUND(C25*G25+E25*H25,2)</f>
        <v>-129.93</v>
      </c>
      <c r="K25" s="15" t="n">
        <f aca="false">ROUND(J25-I25,2)</f>
        <v>0</v>
      </c>
      <c r="L25" s="4" t="str">
        <f aca="false">IF(ABS(K25)&lt;0.005,"OK",IF(ABS(K25)&lt;=0.05,"Rounding","REVIEW"))</f>
        <v>OK</v>
      </c>
      <c r="M25" s="16" t="n">
        <f aca="false">ABS(C25)/SUMPRODUCT(($A$4:$A$143=A25)*ABS($C$4:$C$143))</f>
        <v>0.00241939762815559</v>
      </c>
      <c r="N25" s="16" t="n">
        <f aca="false">E25/SUMIFS($E$4:$E$143,$A$4:$A$143,A25)</f>
        <v>0.000913798355162961</v>
      </c>
      <c r="O25" s="4" t="str">
        <f aca="false">IF(AND(ABS(ROUND(M25,2)-D25)&lt;0.0051,ABS(ROUND(N25,2)-F25)&lt;0.0051),"OK","REVIEW")</f>
        <v>OK</v>
      </c>
    </row>
    <row r="26" customFormat="false" ht="15" hidden="false" customHeight="false" outlineLevel="0" collapsed="false">
      <c r="A26" s="4" t="s">
        <v>268</v>
      </c>
      <c r="B26" s="4" t="s">
        <v>549</v>
      </c>
      <c r="C26" s="15" t="n">
        <v>8882.1</v>
      </c>
      <c r="D26" s="32" t="n">
        <v>0</v>
      </c>
      <c r="E26" s="18" t="n">
        <v>15</v>
      </c>
      <c r="F26" s="32" t="n">
        <v>0</v>
      </c>
      <c r="G26" s="24" t="n">
        <v>0.0205</v>
      </c>
      <c r="H26" s="15" t="n">
        <v>0.1</v>
      </c>
      <c r="I26" s="15" t="n">
        <v>-183.58</v>
      </c>
      <c r="J26" s="15" t="n">
        <f aca="false">-ROUND(C26*G26+E26*H26,2)</f>
        <v>-183.58</v>
      </c>
      <c r="K26" s="15" t="n">
        <f aca="false">ROUND(J26-I26,2)</f>
        <v>0</v>
      </c>
      <c r="L26" s="4" t="str">
        <f aca="false">IF(ABS(K26)&lt;0.005,"OK",IF(ABS(K26)&lt;=0.05,"Rounding","REVIEW"))</f>
        <v>OK</v>
      </c>
      <c r="M26" s="16" t="n">
        <f aca="false">ABS(C26)/SUMPRODUCT(($A$4:$A$143=A26)*ABS($C$4:$C$143))</f>
        <v>0.00323255758659895</v>
      </c>
      <c r="N26" s="16" t="n">
        <f aca="false">E26/SUMIFS($E$4:$E$143,$A$4:$A$143,A26)</f>
        <v>0.0045689917758148</v>
      </c>
      <c r="O26" s="4" t="str">
        <f aca="false">IF(AND(ABS(ROUND(M26,2)-D26)&lt;0.0051,ABS(ROUND(N26,2)-F26)&lt;0.0051),"OK","REVIEW")</f>
        <v>OK</v>
      </c>
    </row>
    <row r="27" customFormat="false" ht="15" hidden="false" customHeight="false" outlineLevel="0" collapsed="false">
      <c r="A27" s="4" t="s">
        <v>268</v>
      </c>
      <c r="B27" s="4" t="s">
        <v>550</v>
      </c>
      <c r="C27" s="15" t="n">
        <v>42221.25</v>
      </c>
      <c r="D27" s="32" t="n">
        <v>0.02</v>
      </c>
      <c r="E27" s="18" t="n">
        <v>85</v>
      </c>
      <c r="F27" s="32" t="n">
        <v>0.03</v>
      </c>
      <c r="G27" s="24" t="n">
        <v>0.023</v>
      </c>
      <c r="H27" s="15" t="n">
        <v>0.1</v>
      </c>
      <c r="I27" s="15" t="n">
        <v>-979.6</v>
      </c>
      <c r="J27" s="15" t="n">
        <f aca="false">-ROUND(C27*G27+E27*H27,2)</f>
        <v>-979.59</v>
      </c>
      <c r="K27" s="15" t="n">
        <f aca="false">ROUND(J27-I27,2)</f>
        <v>0.01</v>
      </c>
      <c r="L27" s="4" t="str">
        <f aca="false">IF(ABS(K27)&lt;0.005,"OK",IF(ABS(K27)&lt;=0.05,"Rounding","REVIEW"))</f>
        <v>Rounding</v>
      </c>
      <c r="M27" s="16" t="n">
        <f aca="false">ABS(C27)/SUMPRODUCT(($A$4:$A$143=A27)*ABS($C$4:$C$143))</f>
        <v>0.0153660307813682</v>
      </c>
      <c r="N27" s="16" t="n">
        <f aca="false">E27/SUMIFS($E$4:$E$143,$A$4:$A$143,A27)</f>
        <v>0.0258909533962839</v>
      </c>
      <c r="O27" s="4" t="str">
        <f aca="false">IF(AND(ABS(ROUND(M27,2)-D27)&lt;0.0051,ABS(ROUND(N27,2)-F27)&lt;0.0051),"OK","REVIEW")</f>
        <v>OK</v>
      </c>
    </row>
    <row r="28" customFormat="false" ht="15" hidden="false" customHeight="false" outlineLevel="0" collapsed="false">
      <c r="A28" s="4" t="s">
        <v>268</v>
      </c>
      <c r="B28" s="4" t="s">
        <v>548</v>
      </c>
      <c r="C28" s="15" t="n">
        <v>206345.15</v>
      </c>
      <c r="D28" s="32" t="n">
        <v>0.08</v>
      </c>
      <c r="E28" s="18" t="n">
        <v>347</v>
      </c>
      <c r="F28" s="32" t="n">
        <v>0.11</v>
      </c>
      <c r="G28" s="24" t="n">
        <v>0.023</v>
      </c>
      <c r="H28" s="15" t="n">
        <v>0.1</v>
      </c>
      <c r="I28" s="15" t="n">
        <v>-4780.63</v>
      </c>
      <c r="J28" s="15" t="n">
        <f aca="false">-ROUND(C28*G28+E28*H28,2)</f>
        <v>-4780.64</v>
      </c>
      <c r="K28" s="15" t="n">
        <f aca="false">ROUND(J28-I28,2)</f>
        <v>-0.01</v>
      </c>
      <c r="L28" s="4" t="str">
        <f aca="false">IF(ABS(K28)&lt;0.005,"OK",IF(ABS(K28)&lt;=0.05,"Rounding","REVIEW"))</f>
        <v>Rounding</v>
      </c>
      <c r="M28" s="16" t="n">
        <f aca="false">ABS(C28)/SUMPRODUCT(($A$4:$A$143=A28)*ABS($C$4:$C$143))</f>
        <v>0.0750973958962856</v>
      </c>
      <c r="N28" s="16" t="n">
        <f aca="false">E28/SUMIFS($E$4:$E$143,$A$4:$A$143,A28)</f>
        <v>0.105696009747182</v>
      </c>
      <c r="O28" s="4" t="str">
        <f aca="false">IF(AND(ABS(ROUND(M28,2)-D28)&lt;0.0051,ABS(ROUND(N28,2)-F28)&lt;0.0051),"OK","REVIEW")</f>
        <v>OK</v>
      </c>
    </row>
    <row r="29" customFormat="false" ht="15" hidden="false" customHeight="false" outlineLevel="0" collapsed="false">
      <c r="A29" s="4" t="s">
        <v>268</v>
      </c>
      <c r="B29" s="4" t="s">
        <v>523</v>
      </c>
      <c r="C29" s="15" t="n">
        <v>9937.56</v>
      </c>
      <c r="D29" s="32" t="n">
        <v>0</v>
      </c>
      <c r="E29" s="18" t="n">
        <v>10</v>
      </c>
      <c r="F29" s="32" t="n">
        <v>0</v>
      </c>
      <c r="G29" s="24" t="n">
        <v>0.022</v>
      </c>
      <c r="H29" s="15" t="n">
        <v>0.1</v>
      </c>
      <c r="I29" s="15" t="n">
        <v>-219.63</v>
      </c>
      <c r="J29" s="15" t="n">
        <f aca="false">-ROUND(C29*G29+E29*H29,2)</f>
        <v>-219.63</v>
      </c>
      <c r="K29" s="15" t="n">
        <f aca="false">ROUND(J29-I29,2)</f>
        <v>0</v>
      </c>
      <c r="L29" s="4" t="str">
        <f aca="false">IF(ABS(K29)&lt;0.005,"OK",IF(ABS(K29)&lt;=0.05,"Rounding","REVIEW"))</f>
        <v>OK</v>
      </c>
      <c r="M29" s="16" t="n">
        <f aca="false">ABS(C29)/SUMPRODUCT(($A$4:$A$143=A29)*ABS($C$4:$C$143))</f>
        <v>0.00361668242535912</v>
      </c>
      <c r="N29" s="16" t="n">
        <f aca="false">E29/SUMIFS($E$4:$E$143,$A$4:$A$143,A29)</f>
        <v>0.00304599451720987</v>
      </c>
      <c r="O29" s="4" t="str">
        <f aca="false">IF(AND(ABS(ROUND(M29,2)-D29)&lt;0.0051,ABS(ROUND(N29,2)-F29)&lt;0.0051),"OK","REVIEW")</f>
        <v>OK</v>
      </c>
    </row>
    <row r="30" customFormat="false" ht="15" hidden="false" customHeight="false" outlineLevel="0" collapsed="false">
      <c r="A30" s="4" t="s">
        <v>268</v>
      </c>
      <c r="B30" s="4" t="s">
        <v>520</v>
      </c>
      <c r="C30" s="15" t="n">
        <v>46790.84</v>
      </c>
      <c r="D30" s="32" t="n">
        <v>0.02</v>
      </c>
      <c r="E30" s="18" t="n">
        <v>39</v>
      </c>
      <c r="F30" s="32" t="n">
        <v>0.01</v>
      </c>
      <c r="G30" s="24" t="n">
        <v>0.0165</v>
      </c>
      <c r="H30" s="15" t="n">
        <v>0.15</v>
      </c>
      <c r="I30" s="15" t="n">
        <v>-777.91</v>
      </c>
      <c r="J30" s="15" t="n">
        <f aca="false">-ROUND(C30*G30+E30*H30,2)</f>
        <v>-777.9</v>
      </c>
      <c r="K30" s="15" t="n">
        <f aca="false">ROUND(J30-I30,2)</f>
        <v>0.01</v>
      </c>
      <c r="L30" s="4" t="str">
        <f aca="false">IF(ABS(K30)&lt;0.005,"OK",IF(ABS(K30)&lt;=0.05,"Rounding","REVIEW"))</f>
        <v>Rounding</v>
      </c>
      <c r="M30" s="16" t="n">
        <f aca="false">ABS(C30)/SUMPRODUCT(($A$4:$A$143=A30)*ABS($C$4:$C$143))</f>
        <v>0.017029090510728</v>
      </c>
      <c r="N30" s="16" t="n">
        <f aca="false">E30/SUMIFS($E$4:$E$143,$A$4:$A$143,A30)</f>
        <v>0.0118793786171185</v>
      </c>
      <c r="O30" s="4" t="str">
        <f aca="false">IF(AND(ABS(ROUND(M30,2)-D30)&lt;0.0051,ABS(ROUND(N30,2)-F30)&lt;0.0051),"OK","REVIEW")</f>
        <v>OK</v>
      </c>
    </row>
    <row r="31" customFormat="false" ht="15" hidden="false" customHeight="false" outlineLevel="0" collapsed="false">
      <c r="A31" s="4" t="s">
        <v>268</v>
      </c>
      <c r="B31" s="4" t="s">
        <v>527</v>
      </c>
      <c r="C31" s="15" t="n">
        <v>27797.82</v>
      </c>
      <c r="D31" s="32" t="n">
        <v>0.01</v>
      </c>
      <c r="E31" s="18" t="n">
        <v>48</v>
      </c>
      <c r="F31" s="32" t="n">
        <v>0.01</v>
      </c>
      <c r="G31" s="24" t="n">
        <v>0.0005</v>
      </c>
      <c r="H31" s="15" t="n">
        <v>0.22</v>
      </c>
      <c r="I31" s="15" t="n">
        <v>-24.45</v>
      </c>
      <c r="J31" s="15" t="n">
        <f aca="false">-ROUND(C31*G31+E31*H31,2)</f>
        <v>-24.46</v>
      </c>
      <c r="K31" s="15" t="n">
        <f aca="false">ROUND(J31-I31,2)</f>
        <v>-0.01</v>
      </c>
      <c r="L31" s="4" t="str">
        <f aca="false">IF(ABS(K31)&lt;0.005,"OK",IF(ABS(K31)&lt;=0.05,"Rounding","REVIEW"))</f>
        <v>Rounding</v>
      </c>
      <c r="M31" s="16" t="n">
        <f aca="false">ABS(C31)/SUMPRODUCT(($A$4:$A$143=A31)*ABS($C$4:$C$143))</f>
        <v>0.0101167577410648</v>
      </c>
      <c r="N31" s="16" t="n">
        <f aca="false">E31/SUMIFS($E$4:$E$143,$A$4:$A$143,A31)</f>
        <v>0.0146207736826074</v>
      </c>
      <c r="O31" s="4" t="str">
        <f aca="false">IF(AND(ABS(ROUND(M31,2)-D31)&lt;0.0051,ABS(ROUND(N31,2)-F31)&lt;0.0051),"OK","REVIEW")</f>
        <v>OK</v>
      </c>
    </row>
    <row r="32" customFormat="false" ht="15" hidden="false" customHeight="false" outlineLevel="0" collapsed="false">
      <c r="A32" s="4" t="s">
        <v>268</v>
      </c>
      <c r="B32" s="4" t="s">
        <v>516</v>
      </c>
      <c r="C32" s="15" t="n">
        <v>27060.19</v>
      </c>
      <c r="D32" s="32" t="n">
        <v>0.01</v>
      </c>
      <c r="E32" s="18" t="n">
        <v>46</v>
      </c>
      <c r="F32" s="32" t="n">
        <v>0.01</v>
      </c>
      <c r="G32" s="24" t="n">
        <v>0.019</v>
      </c>
      <c r="H32" s="15" t="n">
        <v>0.1</v>
      </c>
      <c r="I32" s="15" t="n">
        <v>-518.75</v>
      </c>
      <c r="J32" s="15" t="n">
        <f aca="false">-ROUND(C32*G32+E32*H32,2)</f>
        <v>-518.74</v>
      </c>
      <c r="K32" s="15" t="n">
        <f aca="false">ROUND(J32-I32,2)</f>
        <v>0.01</v>
      </c>
      <c r="L32" s="4" t="str">
        <f aca="false">IF(ABS(K32)&lt;0.005,"OK",IF(ABS(K32)&lt;=0.05,"Rounding","REVIEW"))</f>
        <v>Rounding</v>
      </c>
      <c r="M32" s="16" t="n">
        <f aca="false">ABS(C32)/SUMPRODUCT(($A$4:$A$143=A32)*ABS($C$4:$C$143))</f>
        <v>0.00984830417123304</v>
      </c>
      <c r="N32" s="16" t="n">
        <f aca="false">E32/SUMIFS($E$4:$E$143,$A$4:$A$143,A32)</f>
        <v>0.0140115747791654</v>
      </c>
      <c r="O32" s="4" t="str">
        <f aca="false">IF(AND(ABS(ROUND(M32,2)-D32)&lt;0.0051,ABS(ROUND(N32,2)-F32)&lt;0.0051),"OK","REVIEW")</f>
        <v>OK</v>
      </c>
    </row>
    <row r="33" customFormat="false" ht="15" hidden="false" customHeight="false" outlineLevel="0" collapsed="false">
      <c r="A33" s="4" t="s">
        <v>268</v>
      </c>
      <c r="B33" s="4" t="s">
        <v>518</v>
      </c>
      <c r="C33" s="15" t="n">
        <v>36756.24</v>
      </c>
      <c r="D33" s="32" t="n">
        <v>0.01</v>
      </c>
      <c r="E33" s="18" t="n">
        <v>14</v>
      </c>
      <c r="F33" s="32" t="n">
        <v>0</v>
      </c>
      <c r="G33" s="24" t="n">
        <v>0.027</v>
      </c>
      <c r="H33" s="15" t="n">
        <v>0.1</v>
      </c>
      <c r="I33" s="15" t="n">
        <v>-993.8</v>
      </c>
      <c r="J33" s="15" t="n">
        <f aca="false">-ROUND(C33*G33+E33*H33,2)</f>
        <v>-993.82</v>
      </c>
      <c r="K33" s="15" t="n">
        <f aca="false">ROUND(J33-I33,2)</f>
        <v>-0.02</v>
      </c>
      <c r="L33" s="4" t="str">
        <f aca="false">IF(ABS(K33)&lt;0.005,"OK",IF(ABS(K33)&lt;=0.05,"Rounding","REVIEW"))</f>
        <v>Rounding</v>
      </c>
      <c r="M33" s="16" t="n">
        <f aca="false">ABS(C33)/SUMPRODUCT(($A$4:$A$143=A33)*ABS($C$4:$C$143))</f>
        <v>0.0133770912809867</v>
      </c>
      <c r="N33" s="16" t="n">
        <f aca="false">E33/SUMIFS($E$4:$E$143,$A$4:$A$143,A33)</f>
        <v>0.00426439232409382</v>
      </c>
      <c r="O33" s="4" t="str">
        <f aca="false">IF(AND(ABS(ROUND(M33,2)-D33)&lt;0.0051,ABS(ROUND(N33,2)-F33)&lt;0.0051),"OK","REVIEW")</f>
        <v>OK</v>
      </c>
    </row>
    <row r="34" customFormat="false" ht="15" hidden="false" customHeight="false" outlineLevel="0" collapsed="false">
      <c r="A34" s="4" t="s">
        <v>268</v>
      </c>
      <c r="B34" s="4" t="s">
        <v>536</v>
      </c>
      <c r="C34" s="15" t="n">
        <v>127286.64</v>
      </c>
      <c r="D34" s="32" t="n">
        <v>0.05</v>
      </c>
      <c r="E34" s="18" t="n">
        <v>120</v>
      </c>
      <c r="F34" s="32" t="n">
        <v>0.04</v>
      </c>
      <c r="G34" s="24" t="n">
        <v>0.022</v>
      </c>
      <c r="H34" s="15" t="n">
        <v>0.1</v>
      </c>
      <c r="I34" s="15" t="n">
        <v>-2812.33</v>
      </c>
      <c r="J34" s="15" t="n">
        <f aca="false">-ROUND(C34*G34+E34*H34,2)</f>
        <v>-2812.31</v>
      </c>
      <c r="K34" s="15" t="n">
        <f aca="false">ROUND(J34-I34,2)</f>
        <v>0.02</v>
      </c>
      <c r="L34" s="4" t="str">
        <f aca="false">IF(ABS(K34)&lt;0.005,"OK",IF(ABS(K34)&lt;=0.05,"Rounding","REVIEW"))</f>
        <v>Rounding</v>
      </c>
      <c r="M34" s="16" t="n">
        <f aca="false">ABS(C34)/SUMPRODUCT(($A$4:$A$143=A34)*ABS($C$4:$C$143))</f>
        <v>0.0463247873593733</v>
      </c>
      <c r="N34" s="16" t="n">
        <f aca="false">E34/SUMIFS($E$4:$E$143,$A$4:$A$143,A34)</f>
        <v>0.0365519342065184</v>
      </c>
      <c r="O34" s="4" t="str">
        <f aca="false">IF(AND(ABS(ROUND(M34,2)-D34)&lt;0.0051,ABS(ROUND(N34,2)-F34)&lt;0.0051),"OK","REVIEW")</f>
        <v>OK</v>
      </c>
    </row>
    <row r="35" customFormat="false" ht="15" hidden="false" customHeight="false" outlineLevel="0" collapsed="false">
      <c r="A35" s="4" t="s">
        <v>268</v>
      </c>
      <c r="B35" s="4" t="s">
        <v>546</v>
      </c>
      <c r="C35" s="15" t="n">
        <v>14.43</v>
      </c>
      <c r="D35" s="32" t="n">
        <v>0</v>
      </c>
      <c r="E35" s="18" t="n">
        <v>1</v>
      </c>
      <c r="F35" s="32" t="n">
        <v>0</v>
      </c>
      <c r="G35" s="24" t="n">
        <v>0.025</v>
      </c>
      <c r="H35" s="15" t="n">
        <v>0.1</v>
      </c>
      <c r="I35" s="15" t="n">
        <v>-0.46</v>
      </c>
      <c r="J35" s="15" t="n">
        <f aca="false">-ROUND(C35*G35+E35*H35,2)</f>
        <v>-0.46</v>
      </c>
      <c r="K35" s="15" t="n">
        <f aca="false">ROUND(J35-I35,2)</f>
        <v>0</v>
      </c>
      <c r="L35" s="4" t="str">
        <f aca="false">IF(ABS(K35)&lt;0.005,"OK",IF(ABS(K35)&lt;=0.05,"Rounding","REVIEW"))</f>
        <v>OK</v>
      </c>
      <c r="M35" s="16" t="n">
        <f aca="false">ABS(C35)/SUMPRODUCT(($A$4:$A$143=A35)*ABS($C$4:$C$143))</f>
        <v>5.25166413062483E-006</v>
      </c>
      <c r="N35" s="16" t="n">
        <f aca="false">E35/SUMIFS($E$4:$E$143,$A$4:$A$143,A35)</f>
        <v>0.000304599451720987</v>
      </c>
      <c r="O35" s="4" t="str">
        <f aca="false">IF(AND(ABS(ROUND(M35,2)-D35)&lt;0.0051,ABS(ROUND(N35,2)-F35)&lt;0.0051),"OK","REVIEW")</f>
        <v>OK</v>
      </c>
    </row>
    <row r="36" customFormat="false" ht="15" hidden="false" customHeight="false" outlineLevel="0" collapsed="false">
      <c r="A36" s="4" t="s">
        <v>268</v>
      </c>
      <c r="B36" s="4" t="s">
        <v>537</v>
      </c>
      <c r="C36" s="15" t="n">
        <v>3804.65</v>
      </c>
      <c r="D36" s="32" t="n">
        <v>0</v>
      </c>
      <c r="E36" s="18" t="n">
        <v>17</v>
      </c>
      <c r="F36" s="32" t="n">
        <v>0.01</v>
      </c>
      <c r="G36" s="24" t="n">
        <v>0.018</v>
      </c>
      <c r="H36" s="15" t="n">
        <v>0.1</v>
      </c>
      <c r="I36" s="15" t="n">
        <v>-70.2</v>
      </c>
      <c r="J36" s="15" t="n">
        <f aca="false">-ROUND(C36*G36+E36*H36,2)</f>
        <v>-70.18</v>
      </c>
      <c r="K36" s="15" t="n">
        <f aca="false">ROUND(J36-I36,2)</f>
        <v>0.02</v>
      </c>
      <c r="L36" s="4" t="str">
        <f aca="false">IF(ABS(K36)&lt;0.005,"OK",IF(ABS(K36)&lt;=0.05,"Rounding","REVIEW"))</f>
        <v>Rounding</v>
      </c>
      <c r="M36" s="16" t="n">
        <f aca="false">ABS(C36)/SUMPRODUCT(($A$4:$A$143=A36)*ABS($C$4:$C$143))</f>
        <v>0.00138466693933346</v>
      </c>
      <c r="N36" s="16" t="n">
        <f aca="false">E36/SUMIFS($E$4:$E$143,$A$4:$A$143,A36)</f>
        <v>0.00517819067925678</v>
      </c>
      <c r="O36" s="4" t="str">
        <f aca="false">IF(AND(ABS(ROUND(M36,2)-D36)&lt;0.0051,ABS(ROUND(N36,2)-F36)&lt;0.0051),"OK","REVIEW")</f>
        <v>OK</v>
      </c>
    </row>
    <row r="37" customFormat="false" ht="15" hidden="false" customHeight="false" outlineLevel="0" collapsed="false">
      <c r="A37" s="4" t="s">
        <v>268</v>
      </c>
      <c r="B37" s="4" t="s">
        <v>531</v>
      </c>
      <c r="C37" s="15" t="n">
        <v>289135.97</v>
      </c>
      <c r="D37" s="32" t="n">
        <v>0.11</v>
      </c>
      <c r="E37" s="18" t="n">
        <v>517</v>
      </c>
      <c r="F37" s="32" t="n">
        <v>0.16</v>
      </c>
      <c r="G37" s="24" t="n">
        <v>0.0005</v>
      </c>
      <c r="H37" s="15" t="n">
        <v>0.22</v>
      </c>
      <c r="I37" s="15" t="n">
        <v>-258.31</v>
      </c>
      <c r="J37" s="15" t="n">
        <f aca="false">-ROUND(C37*G37+E37*H37,2)</f>
        <v>-258.31</v>
      </c>
      <c r="K37" s="15" t="n">
        <f aca="false">ROUND(J37-I37,2)</f>
        <v>0</v>
      </c>
      <c r="L37" s="4" t="str">
        <f aca="false">IF(ABS(K37)&lt;0.005,"OK",IF(ABS(K37)&lt;=0.05,"Rounding","REVIEW"))</f>
        <v>OK</v>
      </c>
      <c r="M37" s="16" t="n">
        <f aca="false">ABS(C37)/SUMPRODUCT(($A$4:$A$143=A37)*ABS($C$4:$C$143))</f>
        <v>0.105228343903147</v>
      </c>
      <c r="N37" s="16" t="n">
        <f aca="false">E37/SUMIFS($E$4:$E$143,$A$4:$A$143,A37)</f>
        <v>0.15747791653975</v>
      </c>
      <c r="O37" s="4" t="str">
        <f aca="false">IF(AND(ABS(ROUND(M37,2)-D37)&lt;0.0051,ABS(ROUND(N37,2)-F37)&lt;0.0051),"OK","REVIEW")</f>
        <v>OK</v>
      </c>
    </row>
    <row r="38" customFormat="false" ht="15" hidden="false" customHeight="false" outlineLevel="0" collapsed="false">
      <c r="A38" s="4" t="s">
        <v>268</v>
      </c>
      <c r="B38" s="4" t="s">
        <v>517</v>
      </c>
      <c r="C38" s="15" t="n">
        <v>180565.69</v>
      </c>
      <c r="D38" s="32" t="n">
        <v>0.07</v>
      </c>
      <c r="E38" s="18" t="n">
        <v>87</v>
      </c>
      <c r="F38" s="32" t="n">
        <v>0.03</v>
      </c>
      <c r="G38" s="24" t="n">
        <v>0.03</v>
      </c>
      <c r="H38" s="15" t="n">
        <v>0.1</v>
      </c>
      <c r="I38" s="15" t="n">
        <v>-5425.67</v>
      </c>
      <c r="J38" s="15" t="n">
        <f aca="false">-ROUND(C38*G38+E38*H38,2)</f>
        <v>-5425.67</v>
      </c>
      <c r="K38" s="15" t="n">
        <f aca="false">ROUND(J38-I38,2)</f>
        <v>0</v>
      </c>
      <c r="L38" s="4" t="str">
        <f aca="false">IF(ABS(K38)&lt;0.005,"OK",IF(ABS(K38)&lt;=0.05,"Rounding","REVIEW"))</f>
        <v>OK</v>
      </c>
      <c r="M38" s="16" t="n">
        <f aca="false">ABS(C38)/SUMPRODUCT(($A$4:$A$143=A38)*ABS($C$4:$C$143))</f>
        <v>0.065715201482642</v>
      </c>
      <c r="N38" s="16" t="n">
        <f aca="false">E38/SUMIFS($E$4:$E$143,$A$4:$A$143,A38)</f>
        <v>0.0265001522997259</v>
      </c>
      <c r="O38" s="4" t="str">
        <f aca="false">IF(AND(ABS(ROUND(M38,2)-D38)&lt;0.0051,ABS(ROUND(N38,2)-F38)&lt;0.0051),"OK","REVIEW")</f>
        <v>OK</v>
      </c>
    </row>
    <row r="39" customFormat="false" ht="15" hidden="false" customHeight="false" outlineLevel="0" collapsed="false">
      <c r="A39" s="4" t="s">
        <v>268</v>
      </c>
      <c r="B39" s="4" t="s">
        <v>533</v>
      </c>
      <c r="C39" s="15" t="n">
        <v>185.6</v>
      </c>
      <c r="D39" s="32" t="n">
        <v>0</v>
      </c>
      <c r="E39" s="18" t="n">
        <v>1</v>
      </c>
      <c r="F39" s="32" t="n">
        <v>0</v>
      </c>
      <c r="G39" s="24" t="n">
        <v>0.0115</v>
      </c>
      <c r="H39" s="15" t="n">
        <v>0.15</v>
      </c>
      <c r="I39" s="15" t="n">
        <v>-2.28</v>
      </c>
      <c r="J39" s="15" t="n">
        <f aca="false">-ROUND(C39*G39+E39*H39,2)</f>
        <v>-2.28</v>
      </c>
      <c r="K39" s="15" t="n">
        <f aca="false">ROUND(J39-I39,2)</f>
        <v>0</v>
      </c>
      <c r="L39" s="4" t="str">
        <f aca="false">IF(ABS(K39)&lt;0.005,"OK",IF(ABS(K39)&lt;=0.05,"Rounding","REVIEW"))</f>
        <v>OK</v>
      </c>
      <c r="M39" s="16" t="n">
        <f aca="false">ABS(C39)/SUMPRODUCT(($A$4:$A$143=A39)*ABS($C$4:$C$143))</f>
        <v>6.75473917286188E-005</v>
      </c>
      <c r="N39" s="16" t="n">
        <f aca="false">E39/SUMIFS($E$4:$E$143,$A$4:$A$143,A39)</f>
        <v>0.000304599451720987</v>
      </c>
      <c r="O39" s="4" t="str">
        <f aca="false">IF(AND(ABS(ROUND(M39,2)-D39)&lt;0.0051,ABS(ROUND(N39,2)-F39)&lt;0.0051),"OK","REVIEW")</f>
        <v>OK</v>
      </c>
    </row>
    <row r="40" customFormat="false" ht="15" hidden="false" customHeight="false" outlineLevel="0" collapsed="false">
      <c r="A40" s="4" t="s">
        <v>268</v>
      </c>
      <c r="B40" s="4" t="s">
        <v>744</v>
      </c>
      <c r="C40" s="15" t="n">
        <v>-31582.84</v>
      </c>
      <c r="D40" s="32" t="n">
        <v>0.01</v>
      </c>
      <c r="E40" s="18" t="n">
        <v>59</v>
      </c>
      <c r="F40" s="32" t="n">
        <v>0.02</v>
      </c>
      <c r="G40" s="24" t="n">
        <v>0</v>
      </c>
      <c r="H40" s="15" t="n">
        <v>0</v>
      </c>
      <c r="I40" s="15" t="n">
        <v>0</v>
      </c>
      <c r="J40" s="15" t="n">
        <v>0</v>
      </c>
      <c r="K40" s="15" t="n">
        <f aca="false">ROUND(J40-I40,2)</f>
        <v>0</v>
      </c>
      <c r="L40" s="4" t="str">
        <f aca="false">IF(ABS(K40)&lt;0.005,"OK",IF(ABS(K40)&lt;=0.05,"Rounding","REVIEW"))</f>
        <v>OK</v>
      </c>
      <c r="M40" s="16" t="n">
        <f aca="false">ABS(C40)/SUMPRODUCT(($A$4:$A$143=A40)*ABS($C$4:$C$143))</f>
        <v>0.0114942805246891</v>
      </c>
      <c r="N40" s="16" t="n">
        <f aca="false">E40/SUMIFS($E$4:$E$143,$A$4:$A$143,A40)</f>
        <v>0.0179713676515382</v>
      </c>
      <c r="O40" s="4" t="str">
        <f aca="false">IF(AND(ABS(ROUND(M40,2)-D40)&lt;0.0051,ABS(ROUND(N40,2)-F40)&lt;0.0051),"OK","REVIEW")</f>
        <v>OK</v>
      </c>
    </row>
    <row r="41" customFormat="false" ht="15" hidden="false" customHeight="false" outlineLevel="0" collapsed="false">
      <c r="A41" s="4" t="s">
        <v>268</v>
      </c>
      <c r="B41" s="4" t="s">
        <v>547</v>
      </c>
      <c r="C41" s="15" t="n">
        <v>48256.91</v>
      </c>
      <c r="D41" s="32" t="n">
        <v>0.02</v>
      </c>
      <c r="E41" s="18" t="n">
        <v>37</v>
      </c>
      <c r="F41" s="32" t="n">
        <v>0.01</v>
      </c>
      <c r="G41" s="24" t="n">
        <v>0.025</v>
      </c>
      <c r="H41" s="15" t="n">
        <v>0.1</v>
      </c>
      <c r="I41" s="15" t="n">
        <v>-1210.13</v>
      </c>
      <c r="J41" s="15" t="n">
        <f aca="false">-ROUND(C41*G41+E41*H41,2)</f>
        <v>-1210.12</v>
      </c>
      <c r="K41" s="15" t="n">
        <f aca="false">ROUND(J41-I41,2)</f>
        <v>0.01</v>
      </c>
      <c r="L41" s="4" t="str">
        <f aca="false">IF(ABS(K41)&lt;0.005,"OK",IF(ABS(K41)&lt;=0.05,"Rounding","REVIEW"))</f>
        <v>Rounding</v>
      </c>
      <c r="M41" s="16" t="n">
        <f aca="false">ABS(C41)/SUMPRODUCT(($A$4:$A$143=A41)*ABS($C$4:$C$143))</f>
        <v>0.0175626530354671</v>
      </c>
      <c r="N41" s="16" t="n">
        <f aca="false">E41/SUMIFS($E$4:$E$143,$A$4:$A$143,A41)</f>
        <v>0.0112701797136765</v>
      </c>
      <c r="O41" s="4" t="str">
        <f aca="false">IF(AND(ABS(ROUND(M41,2)-D41)&lt;0.0051,ABS(ROUND(N41,2)-F41)&lt;0.0051),"OK","REVIEW")</f>
        <v>OK</v>
      </c>
    </row>
    <row r="42" customFormat="false" ht="15" hidden="false" customHeight="false" outlineLevel="0" collapsed="false">
      <c r="A42" s="4" t="s">
        <v>268</v>
      </c>
      <c r="B42" s="4" t="s">
        <v>541</v>
      </c>
      <c r="C42" s="15" t="n">
        <v>3.51</v>
      </c>
      <c r="D42" s="32" t="n">
        <v>0</v>
      </c>
      <c r="E42" s="18" t="n">
        <v>1</v>
      </c>
      <c r="F42" s="32" t="n">
        <v>0</v>
      </c>
      <c r="G42" s="24" t="n">
        <v>0.019</v>
      </c>
      <c r="H42" s="15" t="n">
        <v>0.02</v>
      </c>
      <c r="I42" s="15" t="n">
        <v>-0.09</v>
      </c>
      <c r="J42" s="15" t="n">
        <f aca="false">-ROUND(C42*G42+E42*H42,2)</f>
        <v>-0.09</v>
      </c>
      <c r="K42" s="15" t="n">
        <f aca="false">ROUND(J42-I42,2)</f>
        <v>0</v>
      </c>
      <c r="L42" s="4" t="str">
        <f aca="false">IF(ABS(K42)&lt;0.005,"OK",IF(ABS(K42)&lt;=0.05,"Rounding","REVIEW"))</f>
        <v>OK</v>
      </c>
      <c r="M42" s="16" t="n">
        <f aca="false">ABS(C42)/SUMPRODUCT(($A$4:$A$143=A42)*ABS($C$4:$C$143))</f>
        <v>1.27743181555739E-006</v>
      </c>
      <c r="N42" s="16" t="n">
        <f aca="false">E42/SUMIFS($E$4:$E$143,$A$4:$A$143,A42)</f>
        <v>0.000304599451720987</v>
      </c>
      <c r="O42" s="4" t="str">
        <f aca="false">IF(AND(ABS(ROUND(M42,2)-D42)&lt;0.0051,ABS(ROUND(N42,2)-F42)&lt;0.0051),"OK","REVIEW")</f>
        <v>OK</v>
      </c>
    </row>
    <row r="43" customFormat="false" ht="15" hidden="false" customHeight="false" outlineLevel="0" collapsed="false">
      <c r="A43" s="4" t="s">
        <v>268</v>
      </c>
      <c r="B43" s="4" t="s">
        <v>519</v>
      </c>
      <c r="C43" s="15" t="n">
        <v>272399.09</v>
      </c>
      <c r="D43" s="32" t="n">
        <v>0.1</v>
      </c>
      <c r="E43" s="18" t="n">
        <v>147</v>
      </c>
      <c r="F43" s="32" t="n">
        <v>0.04</v>
      </c>
      <c r="G43" s="24" t="n">
        <v>0.026</v>
      </c>
      <c r="H43" s="15" t="n">
        <v>0.1</v>
      </c>
      <c r="I43" s="15" t="n">
        <v>-7097.09</v>
      </c>
      <c r="J43" s="15" t="n">
        <f aca="false">-ROUND(C43*G43+E43*H43,2)</f>
        <v>-7097.08</v>
      </c>
      <c r="K43" s="15" t="n">
        <f aca="false">ROUND(J43-I43,2)</f>
        <v>0.01</v>
      </c>
      <c r="L43" s="4" t="str">
        <f aca="false">IF(ABS(K43)&lt;0.005,"OK",IF(ABS(K43)&lt;=0.05,"Rounding","REVIEW"))</f>
        <v>Rounding</v>
      </c>
      <c r="M43" s="16" t="n">
        <f aca="false">ABS(C43)/SUMPRODUCT(($A$4:$A$143=A43)*ABS($C$4:$C$143))</f>
        <v>0.099137112277744</v>
      </c>
      <c r="N43" s="16" t="n">
        <f aca="false">E43/SUMIFS($E$4:$E$143,$A$4:$A$143,A43)</f>
        <v>0.0447761194029851</v>
      </c>
      <c r="O43" s="4" t="str">
        <f aca="false">IF(AND(ABS(ROUND(M43,2)-D43)&lt;0.0051,ABS(ROUND(N43,2)-F43)&lt;0.0051),"OK","REVIEW")</f>
        <v>OK</v>
      </c>
    </row>
    <row r="44" customFormat="false" ht="15" hidden="false" customHeight="false" outlineLevel="0" collapsed="false">
      <c r="A44" s="4" t="s">
        <v>268</v>
      </c>
      <c r="B44" s="4" t="s">
        <v>539</v>
      </c>
      <c r="C44" s="15" t="n">
        <v>47275.18</v>
      </c>
      <c r="D44" s="32" t="n">
        <v>0.02</v>
      </c>
      <c r="E44" s="18" t="n">
        <v>22</v>
      </c>
      <c r="F44" s="32" t="n">
        <v>0.01</v>
      </c>
      <c r="G44" s="24" t="n">
        <v>0.026</v>
      </c>
      <c r="H44" s="15" t="n">
        <v>0.1</v>
      </c>
      <c r="I44" s="15" t="n">
        <v>-1231.37</v>
      </c>
      <c r="J44" s="15" t="n">
        <f aca="false">-ROUND(C44*G44+E44*H44,2)</f>
        <v>-1231.35</v>
      </c>
      <c r="K44" s="15" t="n">
        <f aca="false">ROUND(J44-I44,2)</f>
        <v>0.02</v>
      </c>
      <c r="L44" s="4" t="str">
        <f aca="false">IF(ABS(K44)&lt;0.005,"OK",IF(ABS(K44)&lt;=0.05,"Rounding","REVIEW"))</f>
        <v>Rounding</v>
      </c>
      <c r="M44" s="16" t="n">
        <f aca="false">ABS(C44)/SUMPRODUCT(($A$4:$A$143=A44)*ABS($C$4:$C$143))</f>
        <v>0.0172053615436474</v>
      </c>
      <c r="N44" s="16" t="n">
        <f aca="false">E44/SUMIFS($E$4:$E$143,$A$4:$A$143,A44)</f>
        <v>0.00670118793786171</v>
      </c>
      <c r="O44" s="4" t="str">
        <f aca="false">IF(AND(ABS(ROUND(M44,2)-D44)&lt;0.0051,ABS(ROUND(N44,2)-F44)&lt;0.0051),"OK","REVIEW")</f>
        <v>OK</v>
      </c>
    </row>
    <row r="45" customFormat="false" ht="15" hidden="false" customHeight="false" outlineLevel="0" collapsed="false">
      <c r="A45" s="4" t="s">
        <v>268</v>
      </c>
      <c r="B45" s="4" t="s">
        <v>525</v>
      </c>
      <c r="C45" s="15" t="n">
        <v>9460.5</v>
      </c>
      <c r="D45" s="32" t="n">
        <v>0</v>
      </c>
      <c r="E45" s="18" t="n">
        <v>31</v>
      </c>
      <c r="F45" s="32" t="n">
        <v>0.01</v>
      </c>
      <c r="G45" s="24" t="n">
        <v>0.0165</v>
      </c>
      <c r="H45" s="15" t="n">
        <v>0.1</v>
      </c>
      <c r="I45" s="15" t="n">
        <v>-159.19</v>
      </c>
      <c r="J45" s="15" t="n">
        <f aca="false">-ROUND(C45*G45+E45*H45,2)</f>
        <v>-159.2</v>
      </c>
      <c r="K45" s="15" t="n">
        <f aca="false">ROUND(J45-I45,2)</f>
        <v>-0.01</v>
      </c>
      <c r="L45" s="4" t="str">
        <f aca="false">IF(ABS(K45)&lt;0.005,"OK",IF(ABS(K45)&lt;=0.05,"Rounding","REVIEW"))</f>
        <v>Rounding</v>
      </c>
      <c r="M45" s="16" t="n">
        <f aca="false">ABS(C45)/SUMPRODUCT(($A$4:$A$143=A45)*ABS($C$4:$C$143))</f>
        <v>0.00344306088064977</v>
      </c>
      <c r="N45" s="16" t="n">
        <f aca="false">E45/SUMIFS($E$4:$E$143,$A$4:$A$143,A45)</f>
        <v>0.00944258300335059</v>
      </c>
      <c r="O45" s="4" t="str">
        <f aca="false">IF(AND(ABS(ROUND(M45,2)-D45)&lt;0.0051,ABS(ROUND(N45,2)-F45)&lt;0.0051),"OK","REVIEW")</f>
        <v>OK</v>
      </c>
    </row>
    <row r="46" customFormat="false" ht="15" hidden="false" customHeight="false" outlineLevel="0" collapsed="false">
      <c r="A46" s="4" t="s">
        <v>268</v>
      </c>
      <c r="B46" s="4" t="s">
        <v>513</v>
      </c>
      <c r="C46" s="15" t="n">
        <v>3.35</v>
      </c>
      <c r="D46" s="32" t="n">
        <v>0</v>
      </c>
      <c r="E46" s="18" t="n">
        <v>1</v>
      </c>
      <c r="F46" s="32" t="n">
        <v>0</v>
      </c>
      <c r="G46" s="24" t="n">
        <v>0.023</v>
      </c>
      <c r="H46" s="15" t="n">
        <v>0.02</v>
      </c>
      <c r="I46" s="15" t="n">
        <v>-0.1</v>
      </c>
      <c r="J46" s="15" t="n">
        <f aca="false">-ROUND(C46*G46+E46*H46,2)</f>
        <v>-0.1</v>
      </c>
      <c r="K46" s="15" t="n">
        <f aca="false">ROUND(J46-I46,2)</f>
        <v>0</v>
      </c>
      <c r="L46" s="4" t="str">
        <f aca="false">IF(ABS(K46)&lt;0.005,"OK",IF(ABS(K46)&lt;=0.05,"Rounding","REVIEW"))</f>
        <v>OK</v>
      </c>
      <c r="M46" s="16" t="n">
        <f aca="false">ABS(C46)/SUMPRODUCT(($A$4:$A$143=A46)*ABS($C$4:$C$143))</f>
        <v>1.21920130544651E-006</v>
      </c>
      <c r="N46" s="16" t="n">
        <f aca="false">E46/SUMIFS($E$4:$E$143,$A$4:$A$143,A46)</f>
        <v>0.000304599451720987</v>
      </c>
      <c r="O46" s="4" t="str">
        <f aca="false">IF(AND(ABS(ROUND(M46,2)-D46)&lt;0.0051,ABS(ROUND(N46,2)-F46)&lt;0.0051),"OK","REVIEW")</f>
        <v>OK</v>
      </c>
    </row>
    <row r="47" customFormat="false" ht="15" hidden="false" customHeight="false" outlineLevel="0" collapsed="false">
      <c r="A47" s="4" t="s">
        <v>268</v>
      </c>
      <c r="B47" s="4" t="s">
        <v>532</v>
      </c>
      <c r="C47" s="15" t="n">
        <v>3042.74</v>
      </c>
      <c r="D47" s="32" t="n">
        <v>0</v>
      </c>
      <c r="E47" s="18" t="n">
        <v>4</v>
      </c>
      <c r="F47" s="32" t="n">
        <v>0</v>
      </c>
      <c r="G47" s="24" t="n">
        <v>0.021</v>
      </c>
      <c r="H47" s="15" t="n">
        <v>0.1</v>
      </c>
      <c r="I47" s="15" t="n">
        <v>-64.29</v>
      </c>
      <c r="J47" s="15" t="n">
        <f aca="false">-ROUND(C47*G47+E47*H47,2)</f>
        <v>-64.3</v>
      </c>
      <c r="K47" s="15" t="n">
        <f aca="false">ROUND(J47-I47,2)</f>
        <v>-0.01</v>
      </c>
      <c r="L47" s="4" t="str">
        <f aca="false">IF(ABS(K47)&lt;0.005,"OK",IF(ABS(K47)&lt;=0.05,"Rounding","REVIEW"))</f>
        <v>Rounding</v>
      </c>
      <c r="M47" s="16" t="n">
        <f aca="false">ABS(C47)/SUMPRODUCT(($A$4:$A$143=A47)*ABS($C$4:$C$143))</f>
        <v>0.00110737688959234</v>
      </c>
      <c r="N47" s="16" t="n">
        <f aca="false">E47/SUMIFS($E$4:$E$143,$A$4:$A$143,A47)</f>
        <v>0.00121839780688395</v>
      </c>
      <c r="O47" s="4" t="str">
        <f aca="false">IF(AND(ABS(ROUND(M47,2)-D47)&lt;0.0051,ABS(ROUND(N47,2)-F47)&lt;0.0051),"OK","REVIEW")</f>
        <v>OK</v>
      </c>
    </row>
    <row r="48" customFormat="false" ht="15" hidden="false" customHeight="false" outlineLevel="0" collapsed="false">
      <c r="A48" s="4" t="s">
        <v>268</v>
      </c>
      <c r="B48" s="4" t="s">
        <v>514</v>
      </c>
      <c r="C48" s="15" t="n">
        <v>24861</v>
      </c>
      <c r="D48" s="32" t="n">
        <v>0.01</v>
      </c>
      <c r="E48" s="18" t="n">
        <v>127</v>
      </c>
      <c r="F48" s="32" t="n">
        <v>0.04</v>
      </c>
      <c r="G48" s="24" t="n">
        <v>0.0005</v>
      </c>
      <c r="H48" s="15" t="n">
        <v>0.22</v>
      </c>
      <c r="I48" s="15" t="n">
        <v>-40.37</v>
      </c>
      <c r="J48" s="15" t="n">
        <f aca="false">-ROUND(C48*G48+E48*H48,2)</f>
        <v>-40.37</v>
      </c>
      <c r="K48" s="15" t="n">
        <f aca="false">ROUND(J48-I48,2)</f>
        <v>0</v>
      </c>
      <c r="L48" s="4" t="str">
        <f aca="false">IF(ABS(K48)&lt;0.005,"OK",IF(ABS(K48)&lt;=0.05,"Rounding","REVIEW"))</f>
        <v>OK</v>
      </c>
      <c r="M48" s="16" t="n">
        <f aca="false">ABS(C48)/SUMPRODUCT(($A$4:$A$143=A48)*ABS($C$4:$C$143))</f>
        <v>0.00904792944916591</v>
      </c>
      <c r="N48" s="16" t="n">
        <f aca="false">E48/SUMIFS($E$4:$E$143,$A$4:$A$143,A48)</f>
        <v>0.0386841303685653</v>
      </c>
      <c r="O48" s="4" t="str">
        <f aca="false">IF(AND(ABS(ROUND(M48,2)-D48)&lt;0.0051,ABS(ROUND(N48,2)-F48)&lt;0.0051),"OK","REVIEW")</f>
        <v>OK</v>
      </c>
    </row>
    <row r="49" customFormat="false" ht="15" hidden="false" customHeight="false" outlineLevel="0" collapsed="false">
      <c r="A49" s="4" t="s">
        <v>268</v>
      </c>
      <c r="B49" s="4" t="s">
        <v>544</v>
      </c>
      <c r="C49" s="15" t="n">
        <v>33156.09</v>
      </c>
      <c r="D49" s="32" t="n">
        <v>0.01</v>
      </c>
      <c r="E49" s="18" t="n">
        <v>50</v>
      </c>
      <c r="F49" s="32" t="n">
        <v>0.02</v>
      </c>
      <c r="G49" s="24" t="n">
        <v>0.021</v>
      </c>
      <c r="H49" s="15" t="n">
        <v>0.1</v>
      </c>
      <c r="I49" s="15" t="n">
        <v>-701.28</v>
      </c>
      <c r="J49" s="15" t="n">
        <f aca="false">-ROUND(C49*G49+E49*H49,2)</f>
        <v>-701.28</v>
      </c>
      <c r="K49" s="15" t="n">
        <f aca="false">ROUND(J49-I49,2)</f>
        <v>0</v>
      </c>
      <c r="L49" s="4" t="str">
        <f aca="false">IF(ABS(K49)&lt;0.005,"OK",IF(ABS(K49)&lt;=0.05,"Rounding","REVIEW"))</f>
        <v>OK</v>
      </c>
      <c r="M49" s="16" t="n">
        <f aca="false">ABS(C49)/SUMPRODUCT(($A$4:$A$143=A49)*ABS($C$4:$C$143))</f>
        <v>0.0120668502123887</v>
      </c>
      <c r="N49" s="16" t="n">
        <f aca="false">E49/SUMIFS($E$4:$E$143,$A$4:$A$143,A49)</f>
        <v>0.0152299725860493</v>
      </c>
      <c r="O49" s="4" t="str">
        <f aca="false">IF(AND(ABS(ROUND(M49,2)-D49)&lt;0.0051,ABS(ROUND(N49,2)-F49)&lt;0.0051),"OK","REVIEW")</f>
        <v>OK</v>
      </c>
    </row>
    <row r="50" customFormat="false" ht="15" hidden="false" customHeight="false" outlineLevel="0" collapsed="false">
      <c r="A50" s="4" t="s">
        <v>269</v>
      </c>
      <c r="B50" s="4" t="s">
        <v>634</v>
      </c>
      <c r="C50" s="15" t="n">
        <v>35840.95</v>
      </c>
      <c r="D50" s="32" t="n">
        <v>0.01</v>
      </c>
      <c r="E50" s="18" t="n">
        <v>44</v>
      </c>
      <c r="F50" s="32" t="n">
        <v>0.01</v>
      </c>
      <c r="G50" s="24" t="n">
        <v>0.0165</v>
      </c>
      <c r="H50" s="15" t="n">
        <v>0.15</v>
      </c>
      <c r="I50" s="15" t="n">
        <v>-597.98</v>
      </c>
      <c r="J50" s="15" t="n">
        <f aca="false">-ROUND(C50*G50+E50*H50,2)</f>
        <v>-597.98</v>
      </c>
      <c r="K50" s="15" t="n">
        <f aca="false">ROUND(J50-I50,2)</f>
        <v>0</v>
      </c>
      <c r="L50" s="4" t="str">
        <f aca="false">IF(ABS(K50)&lt;0.005,"OK",IF(ABS(K50)&lt;=0.05,"Rounding","REVIEW"))</f>
        <v>OK</v>
      </c>
      <c r="M50" s="16" t="n">
        <f aca="false">ABS(C50)/SUMPRODUCT(($A$4:$A$143=A50)*ABS($C$4:$C$143))</f>
        <v>0.0080701752126401</v>
      </c>
      <c r="N50" s="16" t="n">
        <f aca="false">E50/SUMIFS($E$4:$E$143,$A$4:$A$143,A50)</f>
        <v>0.00823970037453184</v>
      </c>
      <c r="O50" s="4" t="str">
        <f aca="false">IF(AND(ABS(ROUND(M50,2)-D50)&lt;0.0051,ABS(ROUND(N50,2)-F50)&lt;0.0051),"OK","REVIEW")</f>
        <v>OK</v>
      </c>
    </row>
    <row r="51" customFormat="false" ht="15" hidden="false" customHeight="false" outlineLevel="0" collapsed="false">
      <c r="A51" s="4" t="s">
        <v>269</v>
      </c>
      <c r="B51" s="4" t="s">
        <v>676</v>
      </c>
      <c r="C51" s="15" t="n">
        <v>5615.35</v>
      </c>
      <c r="D51" s="32" t="n">
        <v>0</v>
      </c>
      <c r="E51" s="18" t="n">
        <v>16</v>
      </c>
      <c r="F51" s="32" t="n">
        <v>0</v>
      </c>
      <c r="G51" s="24" t="n">
        <v>0.0165</v>
      </c>
      <c r="H51" s="15" t="n">
        <v>0.1</v>
      </c>
      <c r="I51" s="15" t="n">
        <v>-94.26</v>
      </c>
      <c r="J51" s="15" t="n">
        <f aca="false">-ROUND(C51*G51+E51*H51,2)</f>
        <v>-94.25</v>
      </c>
      <c r="K51" s="15" t="n">
        <f aca="false">ROUND(J51-I51,2)</f>
        <v>0.01</v>
      </c>
      <c r="L51" s="4" t="str">
        <f aca="false">IF(ABS(K51)&lt;0.005,"OK",IF(ABS(K51)&lt;=0.05,"Rounding","REVIEW"))</f>
        <v>Rounding</v>
      </c>
      <c r="M51" s="16" t="n">
        <f aca="false">ABS(C51)/SUMPRODUCT(($A$4:$A$143=A51)*ABS($C$4:$C$143))</f>
        <v>0.00126438775702928</v>
      </c>
      <c r="N51" s="16" t="n">
        <f aca="false">E51/SUMIFS($E$4:$E$143,$A$4:$A$143,A51)</f>
        <v>0.00299625468164794</v>
      </c>
      <c r="O51" s="4" t="str">
        <f aca="false">IF(AND(ABS(ROUND(M51,2)-D51)&lt;0.0051,ABS(ROUND(N51,2)-F51)&lt;0.0051),"OK","REVIEW")</f>
        <v>OK</v>
      </c>
    </row>
    <row r="52" customFormat="false" ht="15" hidden="false" customHeight="false" outlineLevel="0" collapsed="false">
      <c r="A52" s="4" t="s">
        <v>269</v>
      </c>
      <c r="B52" s="4" t="s">
        <v>689</v>
      </c>
      <c r="C52" s="15" t="n">
        <v>1085708.06</v>
      </c>
      <c r="D52" s="32" t="n">
        <v>0.24</v>
      </c>
      <c r="E52" s="18" t="n">
        <v>1369</v>
      </c>
      <c r="F52" s="32" t="n">
        <v>0.26</v>
      </c>
      <c r="G52" s="24" t="n">
        <v>0.0005</v>
      </c>
      <c r="H52" s="15" t="n">
        <v>0.22</v>
      </c>
      <c r="I52" s="15" t="n">
        <v>-844.05</v>
      </c>
      <c r="J52" s="15" t="n">
        <f aca="false">-ROUND(C52*G52+E52*H52,2)</f>
        <v>-844.03</v>
      </c>
      <c r="K52" s="15" t="n">
        <f aca="false">ROUND(J52-I52,2)</f>
        <v>0.02</v>
      </c>
      <c r="L52" s="4" t="str">
        <f aca="false">IF(ABS(K52)&lt;0.005,"OK",IF(ABS(K52)&lt;=0.05,"Rounding","REVIEW"))</f>
        <v>Rounding</v>
      </c>
      <c r="M52" s="16" t="n">
        <f aca="false">ABS(C52)/SUMPRODUCT(($A$4:$A$143=A52)*ABS($C$4:$C$143))</f>
        <v>0.244464900455361</v>
      </c>
      <c r="N52" s="16" t="n">
        <f aca="false">E52/SUMIFS($E$4:$E$143,$A$4:$A$143,A52)</f>
        <v>0.256367041198502</v>
      </c>
      <c r="O52" s="4" t="str">
        <f aca="false">IF(AND(ABS(ROUND(M52,2)-D52)&lt;0.0051,ABS(ROUND(N52,2)-F52)&lt;0.0051),"OK","REVIEW")</f>
        <v>OK</v>
      </c>
    </row>
    <row r="53" customFormat="false" ht="15" hidden="false" customHeight="false" outlineLevel="0" collapsed="false">
      <c r="A53" s="4" t="s">
        <v>269</v>
      </c>
      <c r="B53" s="4" t="s">
        <v>647</v>
      </c>
      <c r="C53" s="15" t="n">
        <v>7.15</v>
      </c>
      <c r="D53" s="32" t="n">
        <v>0</v>
      </c>
      <c r="E53" s="18" t="n">
        <v>1</v>
      </c>
      <c r="F53" s="32" t="n">
        <v>0</v>
      </c>
      <c r="G53" s="24" t="n">
        <v>0.0185</v>
      </c>
      <c r="H53" s="15" t="n">
        <v>0</v>
      </c>
      <c r="I53" s="15" t="n">
        <v>-0.13</v>
      </c>
      <c r="J53" s="15" t="n">
        <f aca="false">-ROUND(C53*G53+E53*H53,2)</f>
        <v>-0.13</v>
      </c>
      <c r="K53" s="15" t="n">
        <f aca="false">ROUND(J53-I53,2)</f>
        <v>0</v>
      </c>
      <c r="L53" s="4" t="str">
        <f aca="false">IF(ABS(K53)&lt;0.005,"OK",IF(ABS(K53)&lt;=0.05,"Rounding","REVIEW"))</f>
        <v>OK</v>
      </c>
      <c r="M53" s="16" t="n">
        <f aca="false">ABS(C53)/SUMPRODUCT(($A$4:$A$143=A53)*ABS($C$4:$C$143))</f>
        <v>1.60993926696633E-006</v>
      </c>
      <c r="N53" s="16" t="n">
        <f aca="false">E53/SUMIFS($E$4:$E$143,$A$4:$A$143,A53)</f>
        <v>0.000187265917602996</v>
      </c>
      <c r="O53" s="4" t="str">
        <f aca="false">IF(AND(ABS(ROUND(M53,2)-D53)&lt;0.0051,ABS(ROUND(N53,2)-F53)&lt;0.0051),"OK","REVIEW")</f>
        <v>OK</v>
      </c>
    </row>
    <row r="54" customFormat="false" ht="15" hidden="false" customHeight="false" outlineLevel="0" collapsed="false">
      <c r="A54" s="4" t="s">
        <v>269</v>
      </c>
      <c r="B54" s="4" t="s">
        <v>688</v>
      </c>
      <c r="C54" s="15" t="n">
        <v>15803.05</v>
      </c>
      <c r="D54" s="32" t="n">
        <v>0</v>
      </c>
      <c r="E54" s="18" t="n">
        <v>10</v>
      </c>
      <c r="F54" s="32" t="n">
        <v>0</v>
      </c>
      <c r="G54" s="24" t="n">
        <v>0.017</v>
      </c>
      <c r="H54" s="15" t="n">
        <v>0.1</v>
      </c>
      <c r="I54" s="15" t="n">
        <v>-269.65</v>
      </c>
      <c r="J54" s="15" t="n">
        <f aca="false">-ROUND(C54*G54+E54*H54,2)</f>
        <v>-269.65</v>
      </c>
      <c r="K54" s="15" t="n">
        <f aca="false">ROUND(J54-I54,2)</f>
        <v>0</v>
      </c>
      <c r="L54" s="4" t="str">
        <f aca="false">IF(ABS(K54)&lt;0.005,"OK",IF(ABS(K54)&lt;=0.05,"Rounding","REVIEW"))</f>
        <v>OK</v>
      </c>
      <c r="M54" s="16" t="n">
        <f aca="false">ABS(C54)/SUMPRODUCT(($A$4:$A$143=A54)*ABS($C$4:$C$143))</f>
        <v>0.0035583147878087</v>
      </c>
      <c r="N54" s="16" t="n">
        <f aca="false">E54/SUMIFS($E$4:$E$143,$A$4:$A$143,A54)</f>
        <v>0.00187265917602996</v>
      </c>
      <c r="O54" s="4" t="str">
        <f aca="false">IF(AND(ABS(ROUND(M54,2)-D54)&lt;0.0051,ABS(ROUND(N54,2)-F54)&lt;0.0051),"OK","REVIEW")</f>
        <v>OK</v>
      </c>
    </row>
    <row r="55" customFormat="false" ht="15" hidden="false" customHeight="false" outlineLevel="0" collapsed="false">
      <c r="A55" s="4" t="s">
        <v>269</v>
      </c>
      <c r="B55" s="4" t="s">
        <v>675</v>
      </c>
      <c r="C55" s="15" t="n">
        <v>12191.53</v>
      </c>
      <c r="D55" s="32" t="n">
        <v>0</v>
      </c>
      <c r="E55" s="18" t="n">
        <v>12</v>
      </c>
      <c r="F55" s="32" t="n">
        <v>0</v>
      </c>
      <c r="G55" s="24" t="n">
        <v>0.027</v>
      </c>
      <c r="H55" s="15" t="n">
        <v>0.1</v>
      </c>
      <c r="I55" s="15" t="n">
        <v>-358.79</v>
      </c>
      <c r="J55" s="15" t="n">
        <f aca="false">-ROUND(C55*G55+E55*H55,2)</f>
        <v>-330.37</v>
      </c>
      <c r="K55" s="15" t="n">
        <f aca="false">ROUND(J55-I55,2)</f>
        <v>28.42</v>
      </c>
      <c r="L55" s="4" t="str">
        <f aca="false">IF(ABS(K55)&lt;0.005,"OK",IF(ABS(K55)&lt;=0.05,"Rounding","REVIEW"))</f>
        <v>REVIEW</v>
      </c>
      <c r="M55" s="16" t="n">
        <f aca="false">ABS(C55)/SUMPRODUCT(($A$4:$A$143=A55)*ABS($C$4:$C$143))</f>
        <v>0.0027451220799158</v>
      </c>
      <c r="N55" s="16" t="n">
        <f aca="false">E55/SUMIFS($E$4:$E$143,$A$4:$A$143,A55)</f>
        <v>0.00224719101123596</v>
      </c>
      <c r="O55" s="4" t="str">
        <f aca="false">IF(AND(ABS(ROUND(M55,2)-D55)&lt;0.0051,ABS(ROUND(N55,2)-F55)&lt;0.0051),"OK","REVIEW")</f>
        <v>OK</v>
      </c>
    </row>
    <row r="56" customFormat="false" ht="15" hidden="false" customHeight="false" outlineLevel="0" collapsed="false">
      <c r="A56" s="4" t="s">
        <v>269</v>
      </c>
      <c r="B56" s="4" t="s">
        <v>646</v>
      </c>
      <c r="C56" s="15" t="n">
        <v>63809.04</v>
      </c>
      <c r="D56" s="32" t="n">
        <v>0.01</v>
      </c>
      <c r="E56" s="18" t="n">
        <v>90</v>
      </c>
      <c r="F56" s="32" t="n">
        <v>0.02</v>
      </c>
      <c r="G56" s="24" t="n">
        <v>0.021</v>
      </c>
      <c r="H56" s="15" t="n">
        <v>0.1</v>
      </c>
      <c r="I56" s="15" t="n">
        <v>-1348.99</v>
      </c>
      <c r="J56" s="15" t="n">
        <f aca="false">-ROUND(C56*G56+E56*H56,2)</f>
        <v>-1348.99</v>
      </c>
      <c r="K56" s="15" t="n">
        <f aca="false">ROUND(J56-I56,2)</f>
        <v>0</v>
      </c>
      <c r="L56" s="4" t="str">
        <f aca="false">IF(ABS(K56)&lt;0.005,"OK",IF(ABS(K56)&lt;=0.05,"Rounding","REVIEW"))</f>
        <v>OK</v>
      </c>
      <c r="M56" s="16" t="n">
        <f aca="false">ABS(C56)/SUMPRODUCT(($A$4:$A$143=A56)*ABS($C$4:$C$143))</f>
        <v>0.0143676474242552</v>
      </c>
      <c r="N56" s="16" t="n">
        <f aca="false">E56/SUMIFS($E$4:$E$143,$A$4:$A$143,A56)</f>
        <v>0.0168539325842697</v>
      </c>
      <c r="O56" s="4" t="str">
        <f aca="false">IF(AND(ABS(ROUND(M56,2)-D56)&lt;0.0051,ABS(ROUND(N56,2)-F56)&lt;0.0051),"OK","REVIEW")</f>
        <v>OK</v>
      </c>
    </row>
    <row r="57" customFormat="false" ht="15" hidden="false" customHeight="false" outlineLevel="0" collapsed="false">
      <c r="A57" s="4" t="s">
        <v>269</v>
      </c>
      <c r="B57" s="4" t="s">
        <v>630</v>
      </c>
      <c r="C57" s="15" t="n">
        <v>4773.56</v>
      </c>
      <c r="D57" s="32" t="n">
        <v>0</v>
      </c>
      <c r="E57" s="18" t="n">
        <v>9</v>
      </c>
      <c r="F57" s="32" t="n">
        <v>0</v>
      </c>
      <c r="G57" s="24" t="n">
        <v>0.0265</v>
      </c>
      <c r="H57" s="15" t="n">
        <v>0.1</v>
      </c>
      <c r="I57" s="15" t="n">
        <v>-127.41</v>
      </c>
      <c r="J57" s="15" t="n">
        <f aca="false">-ROUND(C57*G57+E57*H57,2)</f>
        <v>-127.4</v>
      </c>
      <c r="K57" s="15" t="n">
        <f aca="false">ROUND(J57-I57,2)</f>
        <v>0.01</v>
      </c>
      <c r="L57" s="4" t="str">
        <f aca="false">IF(ABS(K57)&lt;0.005,"OK",IF(ABS(K57)&lt;=0.05,"Rounding","REVIEW"))</f>
        <v>Rounding</v>
      </c>
      <c r="M57" s="16" t="n">
        <f aca="false">ABS(C57)/SUMPRODUCT(($A$4:$A$143=A57)*ABS($C$4:$C$143))</f>
        <v>0.00107484499121955</v>
      </c>
      <c r="N57" s="16" t="n">
        <f aca="false">E57/SUMIFS($E$4:$E$143,$A$4:$A$143,A57)</f>
        <v>0.00168539325842697</v>
      </c>
      <c r="O57" s="4" t="str">
        <f aca="false">IF(AND(ABS(ROUND(M57,2)-D57)&lt;0.0051,ABS(ROUND(N57,2)-F57)&lt;0.0051),"OK","REVIEW")</f>
        <v>OK</v>
      </c>
    </row>
    <row r="58" customFormat="false" ht="15" hidden="false" customHeight="false" outlineLevel="0" collapsed="false">
      <c r="A58" s="4" t="s">
        <v>269</v>
      </c>
      <c r="B58" s="4" t="s">
        <v>645</v>
      </c>
      <c r="C58" s="15" t="n">
        <v>163725.78</v>
      </c>
      <c r="D58" s="32" t="n">
        <v>0.04</v>
      </c>
      <c r="E58" s="18" t="n">
        <v>204</v>
      </c>
      <c r="F58" s="32" t="n">
        <v>0.04</v>
      </c>
      <c r="G58" s="24" t="n">
        <v>0.0245</v>
      </c>
      <c r="H58" s="15" t="n">
        <v>0.1</v>
      </c>
      <c r="I58" s="15" t="n">
        <v>-4031.69</v>
      </c>
      <c r="J58" s="15" t="n">
        <f aca="false">-ROUND(C58*G58+E58*H58,2)</f>
        <v>-4031.68</v>
      </c>
      <c r="K58" s="15" t="n">
        <f aca="false">ROUND(J58-I58,2)</f>
        <v>0.01</v>
      </c>
      <c r="L58" s="4" t="str">
        <f aca="false">IF(ABS(K58)&lt;0.005,"OK",IF(ABS(K58)&lt;=0.05,"Rounding","REVIEW"))</f>
        <v>Rounding</v>
      </c>
      <c r="M58" s="16" t="n">
        <f aca="false">ABS(C58)/SUMPRODUCT(($A$4:$A$143=A58)*ABS($C$4:$C$143))</f>
        <v>0.0368655331799566</v>
      </c>
      <c r="N58" s="16" t="n">
        <f aca="false">E58/SUMIFS($E$4:$E$143,$A$4:$A$143,A58)</f>
        <v>0.0382022471910112</v>
      </c>
      <c r="O58" s="4" t="str">
        <f aca="false">IF(AND(ABS(ROUND(M58,2)-D58)&lt;0.0051,ABS(ROUND(N58,2)-F58)&lt;0.0051),"OK","REVIEW")</f>
        <v>OK</v>
      </c>
    </row>
    <row r="59" customFormat="false" ht="15" hidden="false" customHeight="false" outlineLevel="0" collapsed="false">
      <c r="A59" s="4" t="s">
        <v>269</v>
      </c>
      <c r="B59" s="4" t="s">
        <v>655</v>
      </c>
      <c r="C59" s="15" t="n">
        <v>1256.24</v>
      </c>
      <c r="D59" s="32" t="n">
        <v>0</v>
      </c>
      <c r="E59" s="18" t="n">
        <v>22</v>
      </c>
      <c r="F59" s="32" t="n">
        <v>0</v>
      </c>
      <c r="G59" s="24" t="n">
        <v>0.0151</v>
      </c>
      <c r="H59" s="15" t="n">
        <v>0.1</v>
      </c>
      <c r="I59" s="15" t="n">
        <v>-21.18</v>
      </c>
      <c r="J59" s="15" t="n">
        <f aca="false">-ROUND(C59*G59+E59*H59,2)</f>
        <v>-21.17</v>
      </c>
      <c r="K59" s="15" t="n">
        <f aca="false">ROUND(J59-I59,2)</f>
        <v>0.01</v>
      </c>
      <c r="L59" s="4" t="str">
        <f aca="false">IF(ABS(K59)&lt;0.005,"OK",IF(ABS(K59)&lt;=0.05,"Rounding","REVIEW"))</f>
        <v>Rounding</v>
      </c>
      <c r="M59" s="16" t="n">
        <f aca="false">ABS(C59)/SUMPRODUCT(($A$4:$A$143=A59)*ABS($C$4:$C$143))</f>
        <v>0.000282862951711018</v>
      </c>
      <c r="N59" s="16" t="n">
        <f aca="false">E59/SUMIFS($E$4:$E$143,$A$4:$A$143,A59)</f>
        <v>0.00411985018726592</v>
      </c>
      <c r="O59" s="4" t="str">
        <f aca="false">IF(AND(ABS(ROUND(M59,2)-D59)&lt;0.0051,ABS(ROUND(N59,2)-F59)&lt;0.0051),"OK","REVIEW")</f>
        <v>OK</v>
      </c>
    </row>
    <row r="60" customFormat="false" ht="15" hidden="false" customHeight="false" outlineLevel="0" collapsed="false">
      <c r="A60" s="4" t="s">
        <v>269</v>
      </c>
      <c r="B60" s="4" t="s">
        <v>683</v>
      </c>
      <c r="C60" s="15" t="n">
        <v>85030.55</v>
      </c>
      <c r="D60" s="32" t="n">
        <v>0.02</v>
      </c>
      <c r="E60" s="18" t="n">
        <v>130</v>
      </c>
      <c r="F60" s="32" t="n">
        <v>0.02</v>
      </c>
      <c r="G60" s="24" t="n">
        <v>0.017</v>
      </c>
      <c r="H60" s="15" t="n">
        <v>0.1</v>
      </c>
      <c r="I60" s="15" t="n">
        <v>-1458.52</v>
      </c>
      <c r="J60" s="15" t="n">
        <f aca="false">-ROUND(C60*G60+E60*H60,2)</f>
        <v>-1458.52</v>
      </c>
      <c r="K60" s="15" t="n">
        <f aca="false">ROUND(J60-I60,2)</f>
        <v>0</v>
      </c>
      <c r="L60" s="4" t="str">
        <f aca="false">IF(ABS(K60)&lt;0.005,"OK",IF(ABS(K60)&lt;=0.05,"Rounding","REVIEW"))</f>
        <v>OK</v>
      </c>
      <c r="M60" s="16" t="n">
        <f aca="false">ABS(C60)/SUMPRODUCT(($A$4:$A$143=A60)*ABS($C$4:$C$143))</f>
        <v>0.0191460169701739</v>
      </c>
      <c r="N60" s="16" t="n">
        <f aca="false">E60/SUMIFS($E$4:$E$143,$A$4:$A$143,A60)</f>
        <v>0.0243445692883895</v>
      </c>
      <c r="O60" s="4" t="str">
        <f aca="false">IF(AND(ABS(ROUND(M60,2)-D60)&lt;0.0051,ABS(ROUND(N60,2)-F60)&lt;0.0051),"OK","REVIEW")</f>
        <v>OK</v>
      </c>
    </row>
    <row r="61" customFormat="false" ht="15" hidden="false" customHeight="false" outlineLevel="0" collapsed="false">
      <c r="A61" s="4" t="s">
        <v>269</v>
      </c>
      <c r="B61" s="4" t="s">
        <v>680</v>
      </c>
      <c r="C61" s="15" t="n">
        <v>145760.6</v>
      </c>
      <c r="D61" s="32" t="n">
        <v>0.03</v>
      </c>
      <c r="E61" s="18" t="n">
        <v>262</v>
      </c>
      <c r="F61" s="32" t="n">
        <v>0.05</v>
      </c>
      <c r="G61" s="24" t="n">
        <v>0.0225</v>
      </c>
      <c r="H61" s="15" t="n">
        <v>0.1</v>
      </c>
      <c r="I61" s="15" t="n">
        <v>-3305.82</v>
      </c>
      <c r="J61" s="15" t="n">
        <f aca="false">-ROUND(C61*G61+E61*H61,2)</f>
        <v>-3305.81</v>
      </c>
      <c r="K61" s="15" t="n">
        <f aca="false">ROUND(J61-I61,2)</f>
        <v>0.01</v>
      </c>
      <c r="L61" s="4" t="str">
        <f aca="false">IF(ABS(K61)&lt;0.005,"OK",IF(ABS(K61)&lt;=0.05,"Rounding","REVIEW"))</f>
        <v>Rounding</v>
      </c>
      <c r="M61" s="16" t="n">
        <f aca="false">ABS(C61)/SUMPRODUCT(($A$4:$A$143=A61)*ABS($C$4:$C$143))</f>
        <v>0.0328203795128073</v>
      </c>
      <c r="N61" s="16" t="n">
        <f aca="false">E61/SUMIFS($E$4:$E$143,$A$4:$A$143,A61)</f>
        <v>0.049063670411985</v>
      </c>
      <c r="O61" s="4" t="str">
        <f aca="false">IF(AND(ABS(ROUND(M61,2)-D61)&lt;0.0051,ABS(ROUND(N61,2)-F61)&lt;0.0051),"OK","REVIEW")</f>
        <v>OK</v>
      </c>
    </row>
    <row r="62" customFormat="false" ht="15" hidden="false" customHeight="false" outlineLevel="0" collapsed="false">
      <c r="A62" s="4" t="s">
        <v>269</v>
      </c>
      <c r="B62" s="4" t="s">
        <v>656</v>
      </c>
      <c r="C62" s="15" t="n">
        <v>17333.02</v>
      </c>
      <c r="D62" s="32" t="n">
        <v>0</v>
      </c>
      <c r="E62" s="18" t="n">
        <v>19</v>
      </c>
      <c r="F62" s="32" t="n">
        <v>0</v>
      </c>
      <c r="G62" s="24" t="n">
        <v>0.0155</v>
      </c>
      <c r="H62" s="15" t="n">
        <v>0.1</v>
      </c>
      <c r="I62" s="15" t="n">
        <v>-270.54</v>
      </c>
      <c r="J62" s="15" t="n">
        <f aca="false">-ROUND(C62*G62+E62*H62,2)</f>
        <v>-270.56</v>
      </c>
      <c r="K62" s="15" t="n">
        <f aca="false">ROUND(J62-I62,2)</f>
        <v>-0.02</v>
      </c>
      <c r="L62" s="4" t="str">
        <f aca="false">IF(ABS(K62)&lt;0.005,"OK",IF(ABS(K62)&lt;=0.05,"Rounding","REVIEW"))</f>
        <v>Rounding</v>
      </c>
      <c r="M62" s="16" t="n">
        <f aca="false">ABS(C62)/SUMPRODUCT(($A$4:$A$143=A62)*ABS($C$4:$C$143))</f>
        <v>0.00390281251931646</v>
      </c>
      <c r="N62" s="16" t="n">
        <f aca="false">E62/SUMIFS($E$4:$E$143,$A$4:$A$143,A62)</f>
        <v>0.00355805243445693</v>
      </c>
      <c r="O62" s="4" t="str">
        <f aca="false">IF(AND(ABS(ROUND(M62,2)-D62)&lt;0.0051,ABS(ROUND(N62,2)-F62)&lt;0.0051),"OK","REVIEW")</f>
        <v>OK</v>
      </c>
    </row>
    <row r="63" customFormat="false" ht="15" hidden="false" customHeight="false" outlineLevel="0" collapsed="false">
      <c r="A63" s="4" t="s">
        <v>269</v>
      </c>
      <c r="B63" s="4" t="s">
        <v>690</v>
      </c>
      <c r="C63" s="15" t="n">
        <v>412980.54</v>
      </c>
      <c r="D63" s="32" t="n">
        <v>0.09</v>
      </c>
      <c r="E63" s="18" t="n">
        <v>284</v>
      </c>
      <c r="F63" s="32" t="n">
        <v>0.05</v>
      </c>
      <c r="G63" s="24" t="n">
        <v>0.03</v>
      </c>
      <c r="H63" s="15" t="n">
        <v>0.1</v>
      </c>
      <c r="I63" s="15" t="n">
        <v>-12417.79</v>
      </c>
      <c r="J63" s="15" t="n">
        <f aca="false">-ROUND(C63*G63+E63*H63,2)</f>
        <v>-12417.82</v>
      </c>
      <c r="K63" s="15" t="n">
        <f aca="false">ROUND(J63-I63,2)</f>
        <v>-0.03</v>
      </c>
      <c r="L63" s="4" t="str">
        <f aca="false">IF(ABS(K63)&lt;0.005,"OK",IF(ABS(K63)&lt;=0.05,"Rounding","REVIEW"))</f>
        <v>Rounding</v>
      </c>
      <c r="M63" s="16" t="n">
        <f aca="false">ABS(C63)/SUMPRODUCT(($A$4:$A$143=A63)*ABS($C$4:$C$143))</f>
        <v>0.0929893129844696</v>
      </c>
      <c r="N63" s="16" t="n">
        <f aca="false">E63/SUMIFS($E$4:$E$143,$A$4:$A$143,A63)</f>
        <v>0.0531835205992509</v>
      </c>
      <c r="O63" s="4" t="str">
        <f aca="false">IF(AND(ABS(ROUND(M63,2)-D63)&lt;0.0051,ABS(ROUND(N63,2)-F63)&lt;0.0051),"OK","REVIEW")</f>
        <v>OK</v>
      </c>
    </row>
    <row r="64" customFormat="false" ht="15" hidden="false" customHeight="false" outlineLevel="0" collapsed="false">
      <c r="A64" s="4" t="s">
        <v>269</v>
      </c>
      <c r="B64" s="4" t="s">
        <v>674</v>
      </c>
      <c r="C64" s="15" t="n">
        <v>20003.25</v>
      </c>
      <c r="D64" s="32" t="n">
        <v>0</v>
      </c>
      <c r="E64" s="18" t="n">
        <v>44</v>
      </c>
      <c r="F64" s="32" t="n">
        <v>0.01</v>
      </c>
      <c r="G64" s="24" t="n">
        <v>0.0175</v>
      </c>
      <c r="H64" s="15" t="n">
        <v>0.1</v>
      </c>
      <c r="I64" s="15" t="n">
        <v>-354.45</v>
      </c>
      <c r="J64" s="15" t="n">
        <f aca="false">-ROUND(C64*G64+E64*H64,2)</f>
        <v>-354.46</v>
      </c>
      <c r="K64" s="15" t="n">
        <f aca="false">ROUND(J64-I64,2)</f>
        <v>-0.01</v>
      </c>
      <c r="L64" s="4" t="str">
        <f aca="false">IF(ABS(K64)&lt;0.005,"OK",IF(ABS(K64)&lt;=0.05,"Rounding","REVIEW"))</f>
        <v>Rounding</v>
      </c>
      <c r="M64" s="16" t="n">
        <f aca="false">ABS(C64)/SUMPRODUCT(($A$4:$A$143=A64)*ABS($C$4:$C$143))</f>
        <v>0.00450405841146072</v>
      </c>
      <c r="N64" s="16" t="n">
        <f aca="false">E64/SUMIFS($E$4:$E$143,$A$4:$A$143,A64)</f>
        <v>0.00823970037453184</v>
      </c>
      <c r="O64" s="4" t="str">
        <f aca="false">IF(AND(ABS(ROUND(M64,2)-D64)&lt;0.0051,ABS(ROUND(N64,2)-F64)&lt;0.0051),"OK","REVIEW")</f>
        <v>OK</v>
      </c>
    </row>
    <row r="65" customFormat="false" ht="15" hidden="false" customHeight="false" outlineLevel="0" collapsed="false">
      <c r="A65" s="4" t="s">
        <v>269</v>
      </c>
      <c r="B65" s="4" t="s">
        <v>672</v>
      </c>
      <c r="C65" s="15" t="n">
        <v>1582.9</v>
      </c>
      <c r="D65" s="32" t="n">
        <v>0</v>
      </c>
      <c r="E65" s="18" t="n">
        <v>9</v>
      </c>
      <c r="F65" s="32" t="n">
        <v>0</v>
      </c>
      <c r="G65" s="24" t="n">
        <v>0.0189</v>
      </c>
      <c r="H65" s="15" t="n">
        <v>0.1</v>
      </c>
      <c r="I65" s="15" t="n">
        <v>-30.82</v>
      </c>
      <c r="J65" s="15" t="n">
        <f aca="false">-ROUND(C65*G65+E65*H65,2)</f>
        <v>-30.82</v>
      </c>
      <c r="K65" s="15" t="n">
        <f aca="false">ROUND(J65-I65,2)</f>
        <v>0</v>
      </c>
      <c r="L65" s="4" t="str">
        <f aca="false">IF(ABS(K65)&lt;0.005,"OK",IF(ABS(K65)&lt;=0.05,"Rounding","REVIEW"))</f>
        <v>OK</v>
      </c>
      <c r="M65" s="16" t="n">
        <f aca="false">ABS(C65)/SUMPRODUCT(($A$4:$A$143=A65)*ABS($C$4:$C$143))</f>
        <v>0.00035641578540993</v>
      </c>
      <c r="N65" s="16" t="n">
        <f aca="false">E65/SUMIFS($E$4:$E$143,$A$4:$A$143,A65)</f>
        <v>0.00168539325842697</v>
      </c>
      <c r="O65" s="4" t="str">
        <f aca="false">IF(AND(ABS(ROUND(M65,2)-D65)&lt;0.0051,ABS(ROUND(N65,2)-F65)&lt;0.0051),"OK","REVIEW")</f>
        <v>OK</v>
      </c>
    </row>
    <row r="66" customFormat="false" ht="15" hidden="false" customHeight="false" outlineLevel="0" collapsed="false">
      <c r="A66" s="4" t="s">
        <v>269</v>
      </c>
      <c r="B66" s="4" t="s">
        <v>684</v>
      </c>
      <c r="C66" s="15" t="n">
        <v>601.59</v>
      </c>
      <c r="D66" s="32" t="n">
        <v>0</v>
      </c>
      <c r="E66" s="18" t="n">
        <v>2</v>
      </c>
      <c r="F66" s="32" t="n">
        <v>0</v>
      </c>
      <c r="G66" s="24" t="n">
        <v>0.0165</v>
      </c>
      <c r="H66" s="15" t="n">
        <v>0.1</v>
      </c>
      <c r="I66" s="15" t="n">
        <v>-10.13</v>
      </c>
      <c r="J66" s="15" t="n">
        <f aca="false">-ROUND(C66*G66+E66*H66,2)</f>
        <v>-10.13</v>
      </c>
      <c r="K66" s="15" t="n">
        <f aca="false">ROUND(J66-I66,2)</f>
        <v>0</v>
      </c>
      <c r="L66" s="4" t="str">
        <f aca="false">IF(ABS(K66)&lt;0.005,"OK",IF(ABS(K66)&lt;=0.05,"Rounding","REVIEW"))</f>
        <v>OK</v>
      </c>
      <c r="M66" s="16" t="n">
        <f aca="false">ABS(C66)/SUMPRODUCT(($A$4:$A$143=A66)*ABS($C$4:$C$143))</f>
        <v>0.000135457813092905</v>
      </c>
      <c r="N66" s="16" t="n">
        <f aca="false">E66/SUMIFS($E$4:$E$143,$A$4:$A$143,A66)</f>
        <v>0.000374531835205993</v>
      </c>
      <c r="O66" s="4" t="str">
        <f aca="false">IF(AND(ABS(ROUND(M66,2)-D66)&lt;0.0051,ABS(ROUND(N66,2)-F66)&lt;0.0051),"OK","REVIEW")</f>
        <v>OK</v>
      </c>
    </row>
    <row r="67" customFormat="false" ht="15" hidden="false" customHeight="false" outlineLevel="0" collapsed="false">
      <c r="A67" s="4" t="s">
        <v>269</v>
      </c>
      <c r="B67" s="4" t="s">
        <v>640</v>
      </c>
      <c r="C67" s="15" t="n">
        <v>4854.82</v>
      </c>
      <c r="D67" s="32" t="n">
        <v>0</v>
      </c>
      <c r="E67" s="18" t="n">
        <v>5</v>
      </c>
      <c r="F67" s="32" t="n">
        <v>0</v>
      </c>
      <c r="G67" s="24" t="n">
        <v>0.0175</v>
      </c>
      <c r="H67" s="15" t="n">
        <v>0.2</v>
      </c>
      <c r="I67" s="15" t="n">
        <v>-85.96</v>
      </c>
      <c r="J67" s="15" t="n">
        <f aca="false">-ROUND(C67*G67+E67*H67,2)</f>
        <v>-85.96</v>
      </c>
      <c r="K67" s="15" t="n">
        <f aca="false">ROUND(J67-I67,2)</f>
        <v>0</v>
      </c>
      <c r="L67" s="4" t="str">
        <f aca="false">IF(ABS(K67)&lt;0.005,"OK",IF(ABS(K67)&lt;=0.05,"Rounding","REVIEW"))</f>
        <v>OK</v>
      </c>
      <c r="M67" s="16" t="n">
        <f aca="false">ABS(C67)/SUMPRODUCT(($A$4:$A$143=A67)*ABS($C$4:$C$143))</f>
        <v>0.0010931420072802</v>
      </c>
      <c r="N67" s="16" t="n">
        <f aca="false">E67/SUMIFS($E$4:$E$143,$A$4:$A$143,A67)</f>
        <v>0.000936329588014981</v>
      </c>
      <c r="O67" s="4" t="str">
        <f aca="false">IF(AND(ABS(ROUND(M67,2)-D67)&lt;0.0051,ABS(ROUND(N67,2)-F67)&lt;0.0051),"OK","REVIEW")</f>
        <v>OK</v>
      </c>
    </row>
    <row r="68" customFormat="false" ht="15" hidden="false" customHeight="false" outlineLevel="0" collapsed="false">
      <c r="A68" s="4" t="s">
        <v>269</v>
      </c>
      <c r="B68" s="4" t="s">
        <v>664</v>
      </c>
      <c r="C68" s="15" t="n">
        <v>1536.02</v>
      </c>
      <c r="D68" s="32" t="n">
        <v>0</v>
      </c>
      <c r="E68" s="18" t="n">
        <v>4</v>
      </c>
      <c r="F68" s="32" t="n">
        <v>0</v>
      </c>
      <c r="G68" s="24" t="n">
        <v>0.0205</v>
      </c>
      <c r="H68" s="15" t="n">
        <v>0.1</v>
      </c>
      <c r="I68" s="15" t="n">
        <v>-31.89</v>
      </c>
      <c r="J68" s="15" t="n">
        <f aca="false">-ROUND(C68*G68+E68*H68,2)</f>
        <v>-31.89</v>
      </c>
      <c r="K68" s="15" t="n">
        <f aca="false">ROUND(J68-I68,2)</f>
        <v>0</v>
      </c>
      <c r="L68" s="4" t="str">
        <f aca="false">IF(ABS(K68)&lt;0.005,"OK",IF(ABS(K68)&lt;=0.05,"Rounding","REVIEW"))</f>
        <v>OK</v>
      </c>
      <c r="M68" s="16" t="n">
        <f aca="false">ABS(C68)/SUMPRODUCT(($A$4:$A$143=A68)*ABS($C$4:$C$143))</f>
        <v>0.000345859987810576</v>
      </c>
      <c r="N68" s="16" t="n">
        <f aca="false">E68/SUMIFS($E$4:$E$143,$A$4:$A$143,A68)</f>
        <v>0.000749063670411985</v>
      </c>
      <c r="O68" s="4" t="str">
        <f aca="false">IF(AND(ABS(ROUND(M68,2)-D68)&lt;0.0051,ABS(ROUND(N68,2)-F68)&lt;0.0051),"OK","REVIEW")</f>
        <v>OK</v>
      </c>
    </row>
    <row r="69" customFormat="false" ht="15" hidden="false" customHeight="false" outlineLevel="0" collapsed="false">
      <c r="A69" s="4" t="s">
        <v>269</v>
      </c>
      <c r="B69" s="4" t="s">
        <v>642</v>
      </c>
      <c r="C69" s="15" t="n">
        <v>34514.97</v>
      </c>
      <c r="D69" s="32" t="n">
        <v>0.01</v>
      </c>
      <c r="E69" s="18" t="n">
        <v>29</v>
      </c>
      <c r="F69" s="32" t="n">
        <v>0.01</v>
      </c>
      <c r="G69" s="24" t="n">
        <v>0.0295</v>
      </c>
      <c r="H69" s="15" t="n">
        <v>0.1</v>
      </c>
      <c r="I69" s="15" t="n">
        <v>-982.33</v>
      </c>
      <c r="J69" s="15" t="n">
        <f aca="false">-ROUND(C69*G69+E69*H69,2)</f>
        <v>-1021.09</v>
      </c>
      <c r="K69" s="15" t="n">
        <f aca="false">ROUND(J69-I69,2)</f>
        <v>-38.76</v>
      </c>
      <c r="L69" s="4" t="str">
        <f aca="false">IF(ABS(K69)&lt;0.005,"OK",IF(ABS(K69)&lt;=0.05,"Rounding","REVIEW"))</f>
        <v>REVIEW</v>
      </c>
      <c r="M69" s="16" t="n">
        <f aca="false">ABS(C69)/SUMPRODUCT(($A$4:$A$143=A69)*ABS($C$4:$C$143))</f>
        <v>0.00777160916100206</v>
      </c>
      <c r="N69" s="16" t="n">
        <f aca="false">E69/SUMIFS($E$4:$E$143,$A$4:$A$143,A69)</f>
        <v>0.00543071161048689</v>
      </c>
      <c r="O69" s="4" t="str">
        <f aca="false">IF(AND(ABS(ROUND(M69,2)-D69)&lt;0.0051,ABS(ROUND(N69,2)-F69)&lt;0.0051),"OK","REVIEW")</f>
        <v>OK</v>
      </c>
    </row>
    <row r="70" customFormat="false" ht="15" hidden="false" customHeight="false" outlineLevel="0" collapsed="false">
      <c r="A70" s="4" t="s">
        <v>269</v>
      </c>
      <c r="B70" s="4" t="s">
        <v>665</v>
      </c>
      <c r="C70" s="15" t="n">
        <v>26543.57</v>
      </c>
      <c r="D70" s="32" t="n">
        <v>0.01</v>
      </c>
      <c r="E70" s="18" t="n">
        <v>16</v>
      </c>
      <c r="F70" s="32" t="n">
        <v>0</v>
      </c>
      <c r="G70" s="24" t="n">
        <v>0.0195</v>
      </c>
      <c r="H70" s="15" t="n">
        <v>0.1</v>
      </c>
      <c r="I70" s="15" t="n">
        <v>-519.2</v>
      </c>
      <c r="J70" s="15" t="n">
        <f aca="false">-ROUND(C70*G70+E70*H70,2)</f>
        <v>-519.2</v>
      </c>
      <c r="K70" s="15" t="n">
        <f aca="false">ROUND(J70-I70,2)</f>
        <v>0</v>
      </c>
      <c r="L70" s="4" t="str">
        <f aca="false">IF(ABS(K70)&lt;0.005,"OK",IF(ABS(K70)&lt;=0.05,"Rounding","REVIEW"))</f>
        <v>OK</v>
      </c>
      <c r="M70" s="16" t="n">
        <f aca="false">ABS(C70)/SUMPRODUCT(($A$4:$A$143=A70)*ABS($C$4:$C$143))</f>
        <v>0.00597671826971599</v>
      </c>
      <c r="N70" s="16" t="n">
        <f aca="false">E70/SUMIFS($E$4:$E$143,$A$4:$A$143,A70)</f>
        <v>0.00299625468164794</v>
      </c>
      <c r="O70" s="4" t="str">
        <f aca="false">IF(AND(ABS(ROUND(M70,2)-D70)&lt;0.0051,ABS(ROUND(N70,2)-F70)&lt;0.0051),"OK","REVIEW")</f>
        <v>OK</v>
      </c>
    </row>
    <row r="71" customFormat="false" ht="15" hidden="false" customHeight="false" outlineLevel="0" collapsed="false">
      <c r="A71" s="4" t="s">
        <v>269</v>
      </c>
      <c r="B71" s="4" t="s">
        <v>641</v>
      </c>
      <c r="C71" s="15" t="n">
        <v>5571.47</v>
      </c>
      <c r="D71" s="32" t="n">
        <v>0</v>
      </c>
      <c r="E71" s="18" t="n">
        <v>18</v>
      </c>
      <c r="F71" s="32" t="n">
        <v>0</v>
      </c>
      <c r="G71" s="24" t="n">
        <v>0.0115</v>
      </c>
      <c r="H71" s="15" t="n">
        <v>0.15</v>
      </c>
      <c r="I71" s="15" t="n">
        <v>-66.78</v>
      </c>
      <c r="J71" s="15" t="n">
        <f aca="false">-ROUND(C71*G71+E71*H71,2)</f>
        <v>-66.77</v>
      </c>
      <c r="K71" s="15" t="n">
        <f aca="false">ROUND(J71-I71,2)</f>
        <v>0.01</v>
      </c>
      <c r="L71" s="4" t="str">
        <f aca="false">IF(ABS(K71)&lt;0.005,"OK",IF(ABS(K71)&lt;=0.05,"Rounding","REVIEW"))</f>
        <v>Rounding</v>
      </c>
      <c r="M71" s="16" t="n">
        <f aca="false">ABS(C71)/SUMPRODUCT(($A$4:$A$143=A71)*ABS($C$4:$C$143))</f>
        <v>0.00125450745842306</v>
      </c>
      <c r="N71" s="16" t="n">
        <f aca="false">E71/SUMIFS($E$4:$E$143,$A$4:$A$143,A71)</f>
        <v>0.00337078651685393</v>
      </c>
      <c r="O71" s="4" t="str">
        <f aca="false">IF(AND(ABS(ROUND(M71,2)-D71)&lt;0.0051,ABS(ROUND(N71,2)-F71)&lt;0.0051),"OK","REVIEW")</f>
        <v>OK</v>
      </c>
    </row>
    <row r="72" customFormat="false" ht="15" hidden="false" customHeight="false" outlineLevel="0" collapsed="false">
      <c r="A72" s="4" t="s">
        <v>269</v>
      </c>
      <c r="B72" s="4" t="s">
        <v>681</v>
      </c>
      <c r="C72" s="15" t="n">
        <v>121678.35</v>
      </c>
      <c r="D72" s="32" t="n">
        <v>0.03</v>
      </c>
      <c r="E72" s="18" t="n">
        <v>47</v>
      </c>
      <c r="F72" s="32" t="n">
        <v>0.01</v>
      </c>
      <c r="G72" s="24" t="n">
        <v>0.027</v>
      </c>
      <c r="H72" s="15" t="n">
        <v>0.1</v>
      </c>
      <c r="I72" s="15" t="n">
        <v>-3290.01</v>
      </c>
      <c r="J72" s="15" t="n">
        <f aca="false">-ROUND(C72*G72+E72*H72,2)</f>
        <v>-3290.02</v>
      </c>
      <c r="K72" s="15" t="n">
        <f aca="false">ROUND(J72-I72,2)</f>
        <v>-0.01</v>
      </c>
      <c r="L72" s="4" t="str">
        <f aca="false">IF(ABS(K72)&lt;0.005,"OK",IF(ABS(K72)&lt;=0.05,"Rounding","REVIEW"))</f>
        <v>Rounding</v>
      </c>
      <c r="M72" s="16" t="n">
        <f aca="false">ABS(C72)/SUMPRODUCT(($A$4:$A$143=A72)*ABS($C$4:$C$143))</f>
        <v>0.0273978676370171</v>
      </c>
      <c r="N72" s="16" t="n">
        <f aca="false">E72/SUMIFS($E$4:$E$143,$A$4:$A$143,A72)</f>
        <v>0.00880149812734082</v>
      </c>
      <c r="O72" s="4" t="str">
        <f aca="false">IF(AND(ABS(ROUND(M72,2)-D72)&lt;0.0051,ABS(ROUND(N72,2)-F72)&lt;0.0051),"OK","REVIEW")</f>
        <v>OK</v>
      </c>
    </row>
    <row r="73" customFormat="false" ht="15" hidden="false" customHeight="false" outlineLevel="0" collapsed="false">
      <c r="A73" s="4" t="s">
        <v>269</v>
      </c>
      <c r="B73" s="4" t="s">
        <v>658</v>
      </c>
      <c r="C73" s="15" t="n">
        <v>10033.91</v>
      </c>
      <c r="D73" s="32" t="n">
        <v>0</v>
      </c>
      <c r="E73" s="18" t="n">
        <v>31</v>
      </c>
      <c r="F73" s="32" t="n">
        <v>0.01</v>
      </c>
      <c r="G73" s="24" t="n">
        <v>0.0165</v>
      </c>
      <c r="H73" s="15" t="n">
        <v>0.1</v>
      </c>
      <c r="I73" s="15" t="n">
        <v>-168.65</v>
      </c>
      <c r="J73" s="15" t="n">
        <f aca="false">-ROUND(C73*G73+E73*H73,2)</f>
        <v>-168.66</v>
      </c>
      <c r="K73" s="15" t="n">
        <f aca="false">ROUND(J73-I73,2)</f>
        <v>-0.01</v>
      </c>
      <c r="L73" s="4" t="str">
        <f aca="false">IF(ABS(K73)&lt;0.005,"OK",IF(ABS(K73)&lt;=0.05,"Rounding","REVIEW"))</f>
        <v>Rounding</v>
      </c>
      <c r="M73" s="16" t="n">
        <f aca="false">ABS(C73)/SUMPRODUCT(($A$4:$A$143=A73)*ABS($C$4:$C$143))</f>
        <v>0.00225929870072812</v>
      </c>
      <c r="N73" s="16" t="n">
        <f aca="false">E73/SUMIFS($E$4:$E$143,$A$4:$A$143,A73)</f>
        <v>0.00580524344569288</v>
      </c>
      <c r="O73" s="4" t="str">
        <f aca="false">IF(AND(ABS(ROUND(M73,2)-D73)&lt;0.0051,ABS(ROUND(N73,2)-F73)&lt;0.0051),"OK","REVIEW")</f>
        <v>OK</v>
      </c>
    </row>
    <row r="74" customFormat="false" ht="15" hidden="false" customHeight="false" outlineLevel="0" collapsed="false">
      <c r="A74" s="4" t="s">
        <v>269</v>
      </c>
      <c r="B74" s="4" t="s">
        <v>633</v>
      </c>
      <c r="C74" s="15" t="n">
        <v>14971.14</v>
      </c>
      <c r="D74" s="32" t="n">
        <v>0</v>
      </c>
      <c r="E74" s="18" t="n">
        <v>35</v>
      </c>
      <c r="F74" s="32" t="n">
        <v>0.01</v>
      </c>
      <c r="G74" s="24" t="n">
        <v>0.0205</v>
      </c>
      <c r="H74" s="15" t="n">
        <v>0.1</v>
      </c>
      <c r="I74" s="15" t="n">
        <v>-310.43</v>
      </c>
      <c r="J74" s="15" t="n">
        <f aca="false">-ROUND(C74*G74+E74*H74,2)</f>
        <v>-310.41</v>
      </c>
      <c r="K74" s="15" t="n">
        <f aca="false">ROUND(J74-I74,2)</f>
        <v>0.02</v>
      </c>
      <c r="L74" s="4" t="str">
        <f aca="false">IF(ABS(K74)&lt;0.005,"OK",IF(ABS(K74)&lt;=0.05,"Rounding","REVIEW"))</f>
        <v>Rounding</v>
      </c>
      <c r="M74" s="16" t="n">
        <f aca="false">ABS(C74)/SUMPRODUCT(($A$4:$A$143=A74)*ABS($C$4:$C$143))</f>
        <v>0.00337099666534968</v>
      </c>
      <c r="N74" s="16" t="n">
        <f aca="false">E74/SUMIFS($E$4:$E$143,$A$4:$A$143,A74)</f>
        <v>0.00655430711610487</v>
      </c>
      <c r="O74" s="4" t="str">
        <f aca="false">IF(AND(ABS(ROUND(M74,2)-D74)&lt;0.0051,ABS(ROUND(N74,2)-F74)&lt;0.0051),"OK","REVIEW")</f>
        <v>OK</v>
      </c>
    </row>
    <row r="75" customFormat="false" ht="15" hidden="false" customHeight="false" outlineLevel="0" collapsed="false">
      <c r="A75" s="4" t="s">
        <v>269</v>
      </c>
      <c r="B75" s="4" t="s">
        <v>644</v>
      </c>
      <c r="C75" s="15" t="n">
        <v>13799.02</v>
      </c>
      <c r="D75" s="32" t="n">
        <v>0</v>
      </c>
      <c r="E75" s="18" t="n">
        <v>39</v>
      </c>
      <c r="F75" s="32" t="n">
        <v>0.01</v>
      </c>
      <c r="G75" s="24" t="n">
        <v>0.019</v>
      </c>
      <c r="H75" s="15" t="n">
        <v>0.1</v>
      </c>
      <c r="I75" s="15" t="n">
        <v>-266.08</v>
      </c>
      <c r="J75" s="15" t="n">
        <f aca="false">-ROUND(C75*G75+E75*H75,2)</f>
        <v>-266.08</v>
      </c>
      <c r="K75" s="15" t="n">
        <f aca="false">ROUND(J75-I75,2)</f>
        <v>0</v>
      </c>
      <c r="L75" s="4" t="str">
        <f aca="false">IF(ABS(K75)&lt;0.005,"OK",IF(ABS(K75)&lt;=0.05,"Rounding","REVIEW"))</f>
        <v>OK</v>
      </c>
      <c r="M75" s="16" t="n">
        <f aca="false">ABS(C75)/SUMPRODUCT(($A$4:$A$143=A75)*ABS($C$4:$C$143))</f>
        <v>0.00310707470540611</v>
      </c>
      <c r="N75" s="16" t="n">
        <f aca="false">E75/SUMIFS($E$4:$E$143,$A$4:$A$143,A75)</f>
        <v>0.00730337078651685</v>
      </c>
      <c r="O75" s="4" t="str">
        <f aca="false">IF(AND(ABS(ROUND(M75,2)-D75)&lt;0.0051,ABS(ROUND(N75,2)-F75)&lt;0.0051),"OK","REVIEW")</f>
        <v>OK</v>
      </c>
    </row>
    <row r="76" customFormat="false" ht="15" hidden="false" customHeight="false" outlineLevel="0" collapsed="false">
      <c r="A76" s="4" t="s">
        <v>269</v>
      </c>
      <c r="B76" s="4" t="s">
        <v>686</v>
      </c>
      <c r="C76" s="15" t="n">
        <v>40792.57</v>
      </c>
      <c r="D76" s="32" t="n">
        <v>0.01</v>
      </c>
      <c r="E76" s="18" t="n">
        <v>51</v>
      </c>
      <c r="F76" s="32" t="n">
        <v>0.01</v>
      </c>
      <c r="G76" s="24" t="n">
        <v>0.0285</v>
      </c>
      <c r="H76" s="15" t="n">
        <v>0.1</v>
      </c>
      <c r="I76" s="15" t="n">
        <v>-1167.7</v>
      </c>
      <c r="J76" s="15" t="n">
        <f aca="false">-ROUND(C76*G76+E76*H76,2)</f>
        <v>-1167.69</v>
      </c>
      <c r="K76" s="15" t="n">
        <f aca="false">ROUND(J76-I76,2)</f>
        <v>0.01</v>
      </c>
      <c r="L76" s="4" t="str">
        <f aca="false">IF(ABS(K76)&lt;0.005,"OK",IF(ABS(K76)&lt;=0.05,"Rounding","REVIEW"))</f>
        <v>Rounding</v>
      </c>
      <c r="M76" s="16" t="n">
        <f aca="false">ABS(C76)/SUMPRODUCT(($A$4:$A$143=A76)*ABS($C$4:$C$143))</f>
        <v>0.00918511332076539</v>
      </c>
      <c r="N76" s="16" t="n">
        <f aca="false">E76/SUMIFS($E$4:$E$143,$A$4:$A$143,A76)</f>
        <v>0.00955056179775281</v>
      </c>
      <c r="O76" s="4" t="str">
        <f aca="false">IF(AND(ABS(ROUND(M76,2)-D76)&lt;0.0051,ABS(ROUND(N76,2)-F76)&lt;0.0051),"OK","REVIEW")</f>
        <v>OK</v>
      </c>
    </row>
    <row r="77" customFormat="false" ht="15" hidden="false" customHeight="false" outlineLevel="0" collapsed="false">
      <c r="A77" s="4" t="s">
        <v>269</v>
      </c>
      <c r="B77" s="4" t="s">
        <v>657</v>
      </c>
      <c r="C77" s="15" t="n">
        <v>257474.95</v>
      </c>
      <c r="D77" s="32" t="n">
        <v>0.06</v>
      </c>
      <c r="E77" s="18" t="n">
        <v>217</v>
      </c>
      <c r="F77" s="32" t="n">
        <v>0.04</v>
      </c>
      <c r="G77" s="24" t="n">
        <v>0.023</v>
      </c>
      <c r="H77" s="15" t="n">
        <v>0.1</v>
      </c>
      <c r="I77" s="15" t="n">
        <v>-5943.62</v>
      </c>
      <c r="J77" s="15" t="n">
        <f aca="false">-ROUND(C77*G77+E77*H77,2)</f>
        <v>-5943.62</v>
      </c>
      <c r="K77" s="15" t="n">
        <f aca="false">ROUND(J77-I77,2)</f>
        <v>0</v>
      </c>
      <c r="L77" s="4" t="str">
        <f aca="false">IF(ABS(K77)&lt;0.005,"OK",IF(ABS(K77)&lt;=0.05,"Rounding","REVIEW"))</f>
        <v>OK</v>
      </c>
      <c r="M77" s="16" t="n">
        <f aca="false">ABS(C77)/SUMPRODUCT(($A$4:$A$143=A77)*ABS($C$4:$C$143))</f>
        <v>0.0579746898272995</v>
      </c>
      <c r="N77" s="16" t="n">
        <f aca="false">E77/SUMIFS($E$4:$E$143,$A$4:$A$143,A77)</f>
        <v>0.0406367041198502</v>
      </c>
      <c r="O77" s="4" t="str">
        <f aca="false">IF(AND(ABS(ROUND(M77,2)-D77)&lt;0.0051,ABS(ROUND(N77,2)-F77)&lt;0.0051),"OK","REVIEW")</f>
        <v>OK</v>
      </c>
    </row>
    <row r="78" customFormat="false" ht="15" hidden="false" customHeight="false" outlineLevel="0" collapsed="false">
      <c r="A78" s="4" t="s">
        <v>269</v>
      </c>
      <c r="B78" s="4" t="s">
        <v>661</v>
      </c>
      <c r="C78" s="15" t="n">
        <v>19372.9</v>
      </c>
      <c r="D78" s="32" t="n">
        <v>0</v>
      </c>
      <c r="E78" s="18" t="n">
        <v>31</v>
      </c>
      <c r="F78" s="32" t="n">
        <v>0.01</v>
      </c>
      <c r="G78" s="24" t="n">
        <v>0.0265</v>
      </c>
      <c r="H78" s="15" t="n">
        <v>0.1</v>
      </c>
      <c r="I78" s="15" t="n">
        <v>-516.49</v>
      </c>
      <c r="J78" s="15" t="n">
        <f aca="false">-ROUND(C78*G78+E78*H78,2)</f>
        <v>-516.48</v>
      </c>
      <c r="K78" s="15" t="n">
        <f aca="false">ROUND(J78-I78,2)</f>
        <v>0.01</v>
      </c>
      <c r="L78" s="4" t="str">
        <f aca="false">IF(ABS(K78)&lt;0.005,"OK",IF(ABS(K78)&lt;=0.05,"Rounding","REVIEW"))</f>
        <v>Rounding</v>
      </c>
      <c r="M78" s="16" t="n">
        <f aca="false">ABS(C78)/SUMPRODUCT(($A$4:$A$143=A78)*ABS($C$4:$C$143))</f>
        <v>0.00436212481468698</v>
      </c>
      <c r="N78" s="16" t="n">
        <f aca="false">E78/SUMIFS($E$4:$E$143,$A$4:$A$143,A78)</f>
        <v>0.00580524344569288</v>
      </c>
      <c r="O78" s="4" t="str">
        <f aca="false">IF(AND(ABS(ROUND(M78,2)-D78)&lt;0.0051,ABS(ROUND(N78,2)-F78)&lt;0.0051),"OK","REVIEW")</f>
        <v>OK</v>
      </c>
    </row>
    <row r="79" customFormat="false" ht="15" hidden="false" customHeight="false" outlineLevel="0" collapsed="false">
      <c r="A79" s="4" t="s">
        <v>269</v>
      </c>
      <c r="B79" s="4" t="s">
        <v>679</v>
      </c>
      <c r="C79" s="15" t="n">
        <v>114883.18</v>
      </c>
      <c r="D79" s="32" t="n">
        <v>0.03</v>
      </c>
      <c r="E79" s="18" t="n">
        <v>48</v>
      </c>
      <c r="F79" s="32" t="n">
        <v>0.01</v>
      </c>
      <c r="G79" s="24" t="n">
        <v>0.027</v>
      </c>
      <c r="H79" s="15" t="n">
        <v>0.1</v>
      </c>
      <c r="I79" s="15" t="n">
        <v>-3106.65</v>
      </c>
      <c r="J79" s="15" t="n">
        <f aca="false">-ROUND(C79*G79+E79*H79,2)</f>
        <v>-3106.65</v>
      </c>
      <c r="K79" s="15" t="n">
        <f aca="false">ROUND(J79-I79,2)</f>
        <v>0</v>
      </c>
      <c r="L79" s="4" t="str">
        <f aca="false">IF(ABS(K79)&lt;0.005,"OK",IF(ABS(K79)&lt;=0.05,"Rounding","REVIEW"))</f>
        <v>OK</v>
      </c>
      <c r="M79" s="16" t="n">
        <f aca="false">ABS(C79)/SUMPRODUCT(($A$4:$A$143=A79)*ABS($C$4:$C$143))</f>
        <v>0.0258678241392952</v>
      </c>
      <c r="N79" s="16" t="n">
        <f aca="false">E79/SUMIFS($E$4:$E$143,$A$4:$A$143,A79)</f>
        <v>0.00898876404494382</v>
      </c>
      <c r="O79" s="4" t="str">
        <f aca="false">IF(AND(ABS(ROUND(M79,2)-D79)&lt;0.0051,ABS(ROUND(N79,2)-F79)&lt;0.0051),"OK","REVIEW")</f>
        <v>OK</v>
      </c>
    </row>
    <row r="80" customFormat="false" ht="15" hidden="false" customHeight="false" outlineLevel="0" collapsed="false">
      <c r="A80" s="4" t="s">
        <v>269</v>
      </c>
      <c r="B80" s="4" t="s">
        <v>669</v>
      </c>
      <c r="C80" s="15" t="n">
        <v>1903.87</v>
      </c>
      <c r="D80" s="32" t="n">
        <v>0</v>
      </c>
      <c r="E80" s="18" t="n">
        <v>4</v>
      </c>
      <c r="F80" s="32" t="n">
        <v>0</v>
      </c>
      <c r="G80" s="24" t="n">
        <v>0.027</v>
      </c>
      <c r="H80" s="15" t="n">
        <v>0.1</v>
      </c>
      <c r="I80" s="15" t="n">
        <v>-51.81</v>
      </c>
      <c r="J80" s="15" t="n">
        <f aca="false">-ROUND(C80*G80+E80*H80,2)</f>
        <v>-51.8</v>
      </c>
      <c r="K80" s="15" t="n">
        <f aca="false">ROUND(J80-I80,2)</f>
        <v>0.01</v>
      </c>
      <c r="L80" s="4" t="str">
        <f aca="false">IF(ABS(K80)&lt;0.005,"OK",IF(ABS(K80)&lt;=0.05,"Rounding","REVIEW"))</f>
        <v>Rounding</v>
      </c>
      <c r="M80" s="16" t="n">
        <f aca="false">ABS(C80)/SUMPRODUCT(($A$4:$A$143=A80)*ABS($C$4:$C$143))</f>
        <v>0.0004286874226852</v>
      </c>
      <c r="N80" s="16" t="n">
        <f aca="false">E80/SUMIFS($E$4:$E$143,$A$4:$A$143,A80)</f>
        <v>0.000749063670411985</v>
      </c>
      <c r="O80" s="4" t="str">
        <f aca="false">IF(AND(ABS(ROUND(M80,2)-D80)&lt;0.0051,ABS(ROUND(N80,2)-F80)&lt;0.0051),"OK","REVIEW")</f>
        <v>OK</v>
      </c>
    </row>
    <row r="81" customFormat="false" ht="15" hidden="false" customHeight="false" outlineLevel="0" collapsed="false">
      <c r="A81" s="4" t="s">
        <v>269</v>
      </c>
      <c r="B81" s="4" t="s">
        <v>745</v>
      </c>
      <c r="C81" s="15" t="n">
        <v>-2630.07</v>
      </c>
      <c r="D81" s="32" t="n">
        <v>0</v>
      </c>
      <c r="E81" s="18" t="n">
        <v>6</v>
      </c>
      <c r="F81" s="32" t="n">
        <v>0</v>
      </c>
      <c r="G81" s="24" t="n">
        <v>0</v>
      </c>
      <c r="H81" s="15" t="n">
        <v>0</v>
      </c>
      <c r="I81" s="15" t="n">
        <v>0</v>
      </c>
      <c r="J81" s="15" t="n">
        <v>0</v>
      </c>
      <c r="K81" s="15" t="n">
        <f aca="false">ROUND(J81-I81,2)</f>
        <v>0</v>
      </c>
      <c r="L81" s="4" t="str">
        <f aca="false">IF(ABS(K81)&lt;0.005,"OK",IF(ABS(K81)&lt;=0.05,"Rounding","REVIEW"))</f>
        <v>OK</v>
      </c>
      <c r="M81" s="16" t="n">
        <f aca="false">ABS(C81)/SUMPRODUCT(($A$4:$A$143=A81)*ABS($C$4:$C$143))</f>
        <v>0.000592203212289528</v>
      </c>
      <c r="N81" s="16" t="n">
        <f aca="false">E81/SUMIFS($E$4:$E$143,$A$4:$A$143,A81)</f>
        <v>0.00112359550561798</v>
      </c>
      <c r="O81" s="4" t="str">
        <f aca="false">IF(AND(ABS(ROUND(M81,2)-D81)&lt;0.0051,ABS(ROUND(N81,2)-F81)&lt;0.0051),"OK","REVIEW")</f>
        <v>OK</v>
      </c>
    </row>
    <row r="82" customFormat="false" ht="15" hidden="false" customHeight="false" outlineLevel="0" collapsed="false">
      <c r="A82" s="4" t="s">
        <v>269</v>
      </c>
      <c r="B82" s="4" t="s">
        <v>682</v>
      </c>
      <c r="C82" s="15" t="n">
        <v>36459.17</v>
      </c>
      <c r="D82" s="32" t="n">
        <v>0.01</v>
      </c>
      <c r="E82" s="18" t="n">
        <v>28</v>
      </c>
      <c r="F82" s="32" t="n">
        <v>0.01</v>
      </c>
      <c r="G82" s="24" t="n">
        <v>0.023</v>
      </c>
      <c r="H82" s="15" t="n">
        <v>0.1</v>
      </c>
      <c r="I82" s="15" t="n">
        <v>-841.36</v>
      </c>
      <c r="J82" s="15" t="n">
        <f aca="false">-ROUND(C82*G82+E82*H82,2)</f>
        <v>-841.36</v>
      </c>
      <c r="K82" s="15" t="n">
        <f aca="false">ROUND(J82-I82,2)</f>
        <v>0</v>
      </c>
      <c r="L82" s="4" t="str">
        <f aca="false">IF(ABS(K82)&lt;0.005,"OK",IF(ABS(K82)&lt;=0.05,"Rounding","REVIEW"))</f>
        <v>OK</v>
      </c>
      <c r="M82" s="16" t="n">
        <f aca="false">ABS(C82)/SUMPRODUCT(($A$4:$A$143=A82)*ABS($C$4:$C$143))</f>
        <v>0.00820937754181827</v>
      </c>
      <c r="N82" s="16" t="n">
        <f aca="false">E82/SUMIFS($E$4:$E$143,$A$4:$A$143,A82)</f>
        <v>0.0052434456928839</v>
      </c>
      <c r="O82" s="4" t="str">
        <f aca="false">IF(AND(ABS(ROUND(M82,2)-D82)&lt;0.0051,ABS(ROUND(N82,2)-F82)&lt;0.0051),"OK","REVIEW")</f>
        <v>OK</v>
      </c>
    </row>
    <row r="83" customFormat="false" ht="15" hidden="false" customHeight="false" outlineLevel="0" collapsed="false">
      <c r="A83" s="4" t="s">
        <v>269</v>
      </c>
      <c r="B83" s="4" t="s">
        <v>635</v>
      </c>
      <c r="C83" s="15" t="n">
        <v>28572.86</v>
      </c>
      <c r="D83" s="32" t="n">
        <v>0.01</v>
      </c>
      <c r="E83" s="18" t="n">
        <v>36</v>
      </c>
      <c r="F83" s="32" t="n">
        <v>0.01</v>
      </c>
      <c r="G83" s="24" t="n">
        <v>0.0275</v>
      </c>
      <c r="H83" s="15" t="n">
        <v>0.1</v>
      </c>
      <c r="I83" s="15" t="n">
        <v>-789.36</v>
      </c>
      <c r="J83" s="15" t="n">
        <f aca="false">-ROUND(C83*G83+E83*H83,2)</f>
        <v>-789.35</v>
      </c>
      <c r="K83" s="15" t="n">
        <f aca="false">ROUND(J83-I83,2)</f>
        <v>0.01</v>
      </c>
      <c r="L83" s="4" t="str">
        <f aca="false">IF(ABS(K83)&lt;0.005,"OK",IF(ABS(K83)&lt;=0.05,"Rounding","REVIEW"))</f>
        <v>Rounding</v>
      </c>
      <c r="M83" s="16" t="n">
        <f aca="false">ABS(C83)/SUMPRODUCT(($A$4:$A$143=A83)*ABS($C$4:$C$143))</f>
        <v>0.00643364605364076</v>
      </c>
      <c r="N83" s="16" t="n">
        <f aca="false">E83/SUMIFS($E$4:$E$143,$A$4:$A$143,A83)</f>
        <v>0.00674157303370787</v>
      </c>
      <c r="O83" s="4" t="str">
        <f aca="false">IF(AND(ABS(ROUND(M83,2)-D83)&lt;0.0051,ABS(ROUND(N83,2)-F83)&lt;0.0051),"OK","REVIEW")</f>
        <v>OK</v>
      </c>
    </row>
    <row r="84" customFormat="false" ht="15" hidden="false" customHeight="false" outlineLevel="0" collapsed="false">
      <c r="A84" s="4" t="s">
        <v>269</v>
      </c>
      <c r="B84" s="4" t="s">
        <v>667</v>
      </c>
      <c r="C84" s="15" t="n">
        <v>129611.32</v>
      </c>
      <c r="D84" s="32" t="n">
        <v>0.03</v>
      </c>
      <c r="E84" s="18" t="n">
        <v>245</v>
      </c>
      <c r="F84" s="32" t="n">
        <v>0.05</v>
      </c>
      <c r="G84" s="24" t="n">
        <v>0.022</v>
      </c>
      <c r="H84" s="15" t="n">
        <v>0.1</v>
      </c>
      <c r="I84" s="15" t="n">
        <v>-2875.94</v>
      </c>
      <c r="J84" s="15" t="n">
        <f aca="false">-ROUND(C84*G84+E84*H84,2)</f>
        <v>-2875.95</v>
      </c>
      <c r="K84" s="15" t="n">
        <f aca="false">ROUND(J84-I84,2)</f>
        <v>-0.01</v>
      </c>
      <c r="L84" s="4" t="str">
        <f aca="false">IF(ABS(K84)&lt;0.005,"OK",IF(ABS(K84)&lt;=0.05,"Rounding","REVIEW"))</f>
        <v>Rounding</v>
      </c>
      <c r="M84" s="16" t="n">
        <f aca="false">ABS(C84)/SUMPRODUCT(($A$4:$A$143=A84)*ABS($C$4:$C$143))</f>
        <v>0.0291841053862011</v>
      </c>
      <c r="N84" s="16" t="n">
        <f aca="false">E84/SUMIFS($E$4:$E$143,$A$4:$A$143,A84)</f>
        <v>0.0458801498127341</v>
      </c>
      <c r="O84" s="4" t="str">
        <f aca="false">IF(AND(ABS(ROUND(M84,2)-D84)&lt;0.0051,ABS(ROUND(N84,2)-F84)&lt;0.0051),"OK","REVIEW")</f>
        <v>OK</v>
      </c>
    </row>
    <row r="85" customFormat="false" ht="15" hidden="false" customHeight="false" outlineLevel="0" collapsed="false">
      <c r="A85" s="4" t="s">
        <v>269</v>
      </c>
      <c r="B85" s="4" t="s">
        <v>648</v>
      </c>
      <c r="C85" s="15" t="n">
        <v>23790.45</v>
      </c>
      <c r="D85" s="32" t="n">
        <v>0.01</v>
      </c>
      <c r="E85" s="18" t="n">
        <v>24</v>
      </c>
      <c r="F85" s="32" t="n">
        <v>0</v>
      </c>
      <c r="G85" s="24" t="n">
        <v>0.022</v>
      </c>
      <c r="H85" s="15" t="n">
        <v>0.1</v>
      </c>
      <c r="I85" s="15" t="n">
        <v>-525.78</v>
      </c>
      <c r="J85" s="15" t="n">
        <f aca="false">-ROUND(C85*G85+E85*H85,2)</f>
        <v>-525.79</v>
      </c>
      <c r="K85" s="15" t="n">
        <f aca="false">ROUND(J85-I85,2)</f>
        <v>-0.01</v>
      </c>
      <c r="L85" s="4" t="str">
        <f aca="false">IF(ABS(K85)&lt;0.005,"OK",IF(ABS(K85)&lt;=0.05,"Rounding","REVIEW"))</f>
        <v>Rounding</v>
      </c>
      <c r="M85" s="16" t="n">
        <f aca="false">ABS(C85)/SUMPRODUCT(($A$4:$A$143=A85)*ABS($C$4:$C$143))</f>
        <v>0.00535680834039147</v>
      </c>
      <c r="N85" s="16" t="n">
        <f aca="false">E85/SUMIFS($E$4:$E$143,$A$4:$A$143,A85)</f>
        <v>0.00449438202247191</v>
      </c>
      <c r="O85" s="4" t="str">
        <f aca="false">IF(AND(ABS(ROUND(M85,2)-D85)&lt;0.0051,ABS(ROUND(N85,2)-F85)&lt;0.0051),"OK","REVIEW")</f>
        <v>OK</v>
      </c>
    </row>
    <row r="86" customFormat="false" ht="15" hidden="false" customHeight="false" outlineLevel="0" collapsed="false">
      <c r="A86" s="4" t="s">
        <v>269</v>
      </c>
      <c r="B86" s="4" t="s">
        <v>650</v>
      </c>
      <c r="C86" s="15" t="n">
        <v>6501.82</v>
      </c>
      <c r="D86" s="32" t="n">
        <v>0</v>
      </c>
      <c r="E86" s="18" t="n">
        <v>18</v>
      </c>
      <c r="F86" s="32" t="n">
        <v>0</v>
      </c>
      <c r="G86" s="24" t="n">
        <v>0.025</v>
      </c>
      <c r="H86" s="15" t="n">
        <v>0.1</v>
      </c>
      <c r="I86" s="15" t="n">
        <v>-164.34</v>
      </c>
      <c r="J86" s="15" t="n">
        <f aca="false">-ROUND(C86*G86+E86*H86,2)</f>
        <v>-164.35</v>
      </c>
      <c r="K86" s="15" t="n">
        <f aca="false">ROUND(J86-I86,2)</f>
        <v>-0.01</v>
      </c>
      <c r="L86" s="4" t="str">
        <f aca="false">IF(ABS(K86)&lt;0.005,"OK",IF(ABS(K86)&lt;=0.05,"Rounding","REVIEW"))</f>
        <v>Rounding</v>
      </c>
      <c r="M86" s="16" t="n">
        <f aca="false">ABS(C86)/SUMPRODUCT(($A$4:$A$143=A86)*ABS($C$4:$C$143))</f>
        <v>0.00146399095451007</v>
      </c>
      <c r="N86" s="16" t="n">
        <f aca="false">E86/SUMIFS($E$4:$E$143,$A$4:$A$143,A86)</f>
        <v>0.00337078651685393</v>
      </c>
      <c r="O86" s="4" t="str">
        <f aca="false">IF(AND(ABS(ROUND(M86,2)-D86)&lt;0.0051,ABS(ROUND(N86,2)-F86)&lt;0.0051),"OK","REVIEW")</f>
        <v>OK</v>
      </c>
    </row>
    <row r="87" customFormat="false" ht="15" hidden="false" customHeight="false" outlineLevel="0" collapsed="false">
      <c r="A87" s="4" t="s">
        <v>269</v>
      </c>
      <c r="B87" s="4" t="s">
        <v>651</v>
      </c>
      <c r="C87" s="15" t="n">
        <v>22095.2</v>
      </c>
      <c r="D87" s="32" t="n">
        <v>0</v>
      </c>
      <c r="E87" s="18" t="n">
        <v>44</v>
      </c>
      <c r="F87" s="32" t="n">
        <v>0.01</v>
      </c>
      <c r="G87" s="24" t="n">
        <v>0.0225</v>
      </c>
      <c r="H87" s="15" t="n">
        <v>0.1</v>
      </c>
      <c r="I87" s="15" t="n">
        <v>-501.53</v>
      </c>
      <c r="J87" s="15" t="n">
        <f aca="false">-ROUND(C87*G87+E87*H87,2)</f>
        <v>-501.54</v>
      </c>
      <c r="K87" s="15" t="n">
        <f aca="false">ROUND(J87-I87,2)</f>
        <v>-0.01</v>
      </c>
      <c r="L87" s="4" t="str">
        <f aca="false">IF(ABS(K87)&lt;0.005,"OK",IF(ABS(K87)&lt;=0.05,"Rounding","REVIEW"))</f>
        <v>Rounding</v>
      </c>
      <c r="M87" s="16" t="n">
        <f aca="false">ABS(C87)/SUMPRODUCT(($A$4:$A$143=A87)*ABS($C$4:$C$143))</f>
        <v>0.00497509511768872</v>
      </c>
      <c r="N87" s="16" t="n">
        <f aca="false">E87/SUMIFS($E$4:$E$143,$A$4:$A$143,A87)</f>
        <v>0.00823970037453184</v>
      </c>
      <c r="O87" s="4" t="str">
        <f aca="false">IF(AND(ABS(ROUND(M87,2)-D87)&lt;0.0051,ABS(ROUND(N87,2)-F87)&lt;0.0051),"OK","REVIEW")</f>
        <v>OK</v>
      </c>
    </row>
    <row r="88" customFormat="false" ht="15" hidden="false" customHeight="false" outlineLevel="0" collapsed="false">
      <c r="A88" s="4" t="s">
        <v>269</v>
      </c>
      <c r="B88" s="4" t="s">
        <v>638</v>
      </c>
      <c r="C88" s="15" t="n">
        <v>7143.77</v>
      </c>
      <c r="D88" s="32" t="n">
        <v>0</v>
      </c>
      <c r="E88" s="18" t="n">
        <v>16</v>
      </c>
      <c r="F88" s="32" t="n">
        <v>0</v>
      </c>
      <c r="G88" s="24" t="n">
        <v>0.021</v>
      </c>
      <c r="H88" s="15" t="n">
        <v>0.1</v>
      </c>
      <c r="I88" s="15" t="n">
        <v>-151.61</v>
      </c>
      <c r="J88" s="15" t="n">
        <f aca="false">-ROUND(C88*G88+E88*H88,2)</f>
        <v>-151.62</v>
      </c>
      <c r="K88" s="15" t="n">
        <f aca="false">ROUND(J88-I88,2)</f>
        <v>-0.01</v>
      </c>
      <c r="L88" s="4" t="str">
        <f aca="false">IF(ABS(K88)&lt;0.005,"OK",IF(ABS(K88)&lt;=0.05,"Rounding","REVIEW"))</f>
        <v>Rounding</v>
      </c>
      <c r="M88" s="16" t="n">
        <f aca="false">ABS(C88)/SUMPRODUCT(($A$4:$A$143=A88)*ABS($C$4:$C$143))</f>
        <v>0.00160853648072392</v>
      </c>
      <c r="N88" s="16" t="n">
        <f aca="false">E88/SUMIFS($E$4:$E$143,$A$4:$A$143,A88)</f>
        <v>0.00299625468164794</v>
      </c>
      <c r="O88" s="4" t="str">
        <f aca="false">IF(AND(ABS(ROUND(M88,2)-D88)&lt;0.0051,ABS(ROUND(N88,2)-F88)&lt;0.0051),"OK","REVIEW")</f>
        <v>OK</v>
      </c>
    </row>
    <row r="89" customFormat="false" ht="15" hidden="false" customHeight="false" outlineLevel="0" collapsed="false">
      <c r="A89" s="4" t="s">
        <v>269</v>
      </c>
      <c r="B89" s="4" t="s">
        <v>653</v>
      </c>
      <c r="C89" s="15" t="n">
        <v>10442.8</v>
      </c>
      <c r="D89" s="32" t="n">
        <v>0</v>
      </c>
      <c r="E89" s="18" t="n">
        <v>6</v>
      </c>
      <c r="F89" s="32" t="n">
        <v>0</v>
      </c>
      <c r="G89" s="24" t="n">
        <v>0.028</v>
      </c>
      <c r="H89" s="15" t="n">
        <v>0.1</v>
      </c>
      <c r="I89" s="15" t="n">
        <v>-293</v>
      </c>
      <c r="J89" s="15" t="n">
        <f aca="false">-ROUND(C89*G89+E89*H89,2)</f>
        <v>-293</v>
      </c>
      <c r="K89" s="15" t="n">
        <f aca="false">ROUND(J89-I89,2)</f>
        <v>0</v>
      </c>
      <c r="L89" s="4" t="str">
        <f aca="false">IF(ABS(K89)&lt;0.005,"OK",IF(ABS(K89)&lt;=0.05,"Rounding","REVIEW"))</f>
        <v>OK</v>
      </c>
      <c r="M89" s="16" t="n">
        <f aca="false">ABS(C89)/SUMPRODUCT(($A$4:$A$143=A89)*ABS($C$4:$C$143))</f>
        <v>0.0023513669618288</v>
      </c>
      <c r="N89" s="16" t="n">
        <f aca="false">E89/SUMIFS($E$4:$E$143,$A$4:$A$143,A89)</f>
        <v>0.00112359550561798</v>
      </c>
      <c r="O89" s="4" t="str">
        <f aca="false">IF(AND(ABS(ROUND(M89,2)-D89)&lt;0.0051,ABS(ROUND(N89,2)-F89)&lt;0.0051),"OK","REVIEW")</f>
        <v>OK</v>
      </c>
    </row>
    <row r="90" customFormat="false" ht="15" hidden="false" customHeight="false" outlineLevel="0" collapsed="false">
      <c r="A90" s="4" t="s">
        <v>269</v>
      </c>
      <c r="B90" s="4" t="s">
        <v>663</v>
      </c>
      <c r="C90" s="15" t="n">
        <v>23240.66</v>
      </c>
      <c r="D90" s="32" t="n">
        <v>0.01</v>
      </c>
      <c r="E90" s="18" t="n">
        <v>84</v>
      </c>
      <c r="F90" s="32" t="n">
        <v>0.02</v>
      </c>
      <c r="G90" s="24" t="n">
        <v>0.025</v>
      </c>
      <c r="H90" s="15" t="n">
        <v>0.1</v>
      </c>
      <c r="I90" s="15" t="n">
        <v>-589.42</v>
      </c>
      <c r="J90" s="15" t="n">
        <f aca="false">-ROUND(C90*G90+E90*H90,2)</f>
        <v>-589.42</v>
      </c>
      <c r="K90" s="15" t="n">
        <f aca="false">ROUND(J90-I90,2)</f>
        <v>0</v>
      </c>
      <c r="L90" s="4" t="str">
        <f aca="false">IF(ABS(K90)&lt;0.005,"OK",IF(ABS(K90)&lt;=0.05,"Rounding","REVIEW"))</f>
        <v>OK</v>
      </c>
      <c r="M90" s="16" t="n">
        <f aca="false">ABS(C90)/SUMPRODUCT(($A$4:$A$143=A90)*ABS($C$4:$C$143))</f>
        <v>0.00523301414324666</v>
      </c>
      <c r="N90" s="16" t="n">
        <f aca="false">E90/SUMIFS($E$4:$E$143,$A$4:$A$143,A90)</f>
        <v>0.0157303370786517</v>
      </c>
      <c r="O90" s="4" t="str">
        <f aca="false">IF(AND(ABS(ROUND(M90,2)-D90)&lt;0.0051,ABS(ROUND(N90,2)-F90)&lt;0.0051),"OK","REVIEW")</f>
        <v>OK</v>
      </c>
    </row>
    <row r="91" customFormat="false" ht="15" hidden="false" customHeight="false" outlineLevel="0" collapsed="false">
      <c r="A91" s="4" t="s">
        <v>269</v>
      </c>
      <c r="B91" s="4" t="s">
        <v>687</v>
      </c>
      <c r="C91" s="15" t="n">
        <v>6332.3</v>
      </c>
      <c r="D91" s="32" t="n">
        <v>0</v>
      </c>
      <c r="E91" s="18" t="n">
        <v>1</v>
      </c>
      <c r="F91" s="32" t="n">
        <v>0</v>
      </c>
      <c r="G91" s="24" t="n">
        <v>0.026</v>
      </c>
      <c r="H91" s="15" t="n">
        <v>0.1</v>
      </c>
      <c r="I91" s="15" t="n">
        <v>-164.74</v>
      </c>
      <c r="J91" s="15" t="n">
        <f aca="false">-ROUND(C91*G91+E91*H91,2)</f>
        <v>-164.74</v>
      </c>
      <c r="K91" s="15" t="n">
        <f aca="false">ROUND(J91-I91,2)</f>
        <v>0</v>
      </c>
      <c r="L91" s="4" t="str">
        <f aca="false">IF(ABS(K91)&lt;0.005,"OK",IF(ABS(K91)&lt;=0.05,"Rounding","REVIEW"))</f>
        <v>OK</v>
      </c>
      <c r="M91" s="16" t="n">
        <f aca="false">ABS(C91)/SUMPRODUCT(($A$4:$A$143=A91)*ABS($C$4:$C$143))</f>
        <v>0.00142582075807145</v>
      </c>
      <c r="N91" s="16" t="n">
        <f aca="false">E91/SUMIFS($E$4:$E$143,$A$4:$A$143,A91)</f>
        <v>0.000187265917602996</v>
      </c>
      <c r="O91" s="4" t="str">
        <f aca="false">IF(AND(ABS(ROUND(M91,2)-D91)&lt;0.0051,ABS(ROUND(N91,2)-F91)&lt;0.0051),"OK","REVIEW")</f>
        <v>OK</v>
      </c>
    </row>
    <row r="92" customFormat="false" ht="15" hidden="false" customHeight="false" outlineLevel="0" collapsed="false">
      <c r="A92" s="4" t="s">
        <v>269</v>
      </c>
      <c r="B92" s="4" t="s">
        <v>746</v>
      </c>
      <c r="C92" s="15" t="n">
        <v>-25967.38</v>
      </c>
      <c r="D92" s="32" t="n">
        <v>0.01</v>
      </c>
      <c r="E92" s="18" t="n">
        <v>51</v>
      </c>
      <c r="F92" s="32" t="n">
        <v>0.01</v>
      </c>
      <c r="G92" s="24" t="n">
        <v>0</v>
      </c>
      <c r="H92" s="15" t="n">
        <v>0</v>
      </c>
      <c r="I92" s="15" t="n">
        <v>0</v>
      </c>
      <c r="J92" s="15" t="n">
        <v>0</v>
      </c>
      <c r="K92" s="15" t="n">
        <f aca="false">ROUND(J92-I92,2)</f>
        <v>0</v>
      </c>
      <c r="L92" s="4" t="str">
        <f aca="false">IF(ABS(K92)&lt;0.005,"OK",IF(ABS(K92)&lt;=0.05,"Rounding","REVIEW"))</f>
        <v>OK</v>
      </c>
      <c r="M92" s="16" t="n">
        <f aca="false">ABS(C92)/SUMPRODUCT(($A$4:$A$143=A92)*ABS($C$4:$C$143))</f>
        <v>0.00584697968143161</v>
      </c>
      <c r="N92" s="16" t="n">
        <f aca="false">E92/SUMIFS($E$4:$E$143,$A$4:$A$143,A92)</f>
        <v>0.00955056179775281</v>
      </c>
      <c r="O92" s="4" t="str">
        <f aca="false">IF(AND(ABS(ROUND(M92,2)-D92)&lt;0.0051,ABS(ROUND(N92,2)-F92)&lt;0.0051),"OK","REVIEW")</f>
        <v>OK</v>
      </c>
    </row>
    <row r="93" customFormat="false" ht="15" hidden="false" customHeight="false" outlineLevel="0" collapsed="false">
      <c r="A93" s="4" t="s">
        <v>269</v>
      </c>
      <c r="B93" s="4" t="s">
        <v>639</v>
      </c>
      <c r="C93" s="15" t="n">
        <v>17.49</v>
      </c>
      <c r="D93" s="32" t="n">
        <v>0</v>
      </c>
      <c r="E93" s="18" t="n">
        <v>2</v>
      </c>
      <c r="F93" s="32" t="n">
        <v>0</v>
      </c>
      <c r="G93" s="24" t="n">
        <v>0.016</v>
      </c>
      <c r="H93" s="15" t="n">
        <v>0.05</v>
      </c>
      <c r="I93" s="15" t="n">
        <v>-0.38</v>
      </c>
      <c r="J93" s="15" t="n">
        <f aca="false">-ROUND(C93*G93+E93*H93,2)</f>
        <v>-0.38</v>
      </c>
      <c r="K93" s="15" t="n">
        <f aca="false">ROUND(J93-I93,2)</f>
        <v>0</v>
      </c>
      <c r="L93" s="4" t="str">
        <f aca="false">IF(ABS(K93)&lt;0.005,"OK",IF(ABS(K93)&lt;=0.05,"Rounding","REVIEW"))</f>
        <v>OK</v>
      </c>
      <c r="M93" s="16" t="n">
        <f aca="false">ABS(C93)/SUMPRODUCT(($A$4:$A$143=A93)*ABS($C$4:$C$143))</f>
        <v>3.93815912996378E-006</v>
      </c>
      <c r="N93" s="16" t="n">
        <f aca="false">E93/SUMIFS($E$4:$E$143,$A$4:$A$143,A93)</f>
        <v>0.000374531835205993</v>
      </c>
      <c r="O93" s="4" t="str">
        <f aca="false">IF(AND(ABS(ROUND(M93,2)-D93)&lt;0.0051,ABS(ROUND(N93,2)-F93)&lt;0.0051),"OK","REVIEW")</f>
        <v>OK</v>
      </c>
    </row>
    <row r="94" customFormat="false" ht="15" hidden="false" customHeight="false" outlineLevel="0" collapsed="false">
      <c r="A94" s="4" t="s">
        <v>269</v>
      </c>
      <c r="B94" s="4" t="s">
        <v>670</v>
      </c>
      <c r="C94" s="15" t="n">
        <v>326.95</v>
      </c>
      <c r="D94" s="32" t="n">
        <v>0</v>
      </c>
      <c r="E94" s="18" t="n">
        <v>5</v>
      </c>
      <c r="F94" s="32" t="n">
        <v>0</v>
      </c>
      <c r="G94" s="24" t="n">
        <v>0.0205</v>
      </c>
      <c r="H94" s="15" t="n">
        <v>0.1</v>
      </c>
      <c r="I94" s="15" t="n">
        <v>-7.2</v>
      </c>
      <c r="J94" s="15" t="n">
        <f aca="false">-ROUND(C94*G94+E94*H94,2)</f>
        <v>-7.2</v>
      </c>
      <c r="K94" s="15" t="n">
        <f aca="false">ROUND(J94-I94,2)</f>
        <v>0</v>
      </c>
      <c r="L94" s="4" t="str">
        <f aca="false">IF(ABS(K94)&lt;0.005,"OK",IF(ABS(K94)&lt;=0.05,"Rounding","REVIEW"))</f>
        <v>OK</v>
      </c>
      <c r="M94" s="16" t="n">
        <f aca="false">ABS(C94)/SUMPRODUCT(($A$4:$A$143=A94)*ABS($C$4:$C$143))</f>
        <v>7.36181319349147E-005</v>
      </c>
      <c r="N94" s="16" t="n">
        <f aca="false">E94/SUMIFS($E$4:$E$143,$A$4:$A$143,A94)</f>
        <v>0.000936329588014981</v>
      </c>
      <c r="O94" s="4" t="str">
        <f aca="false">IF(AND(ABS(ROUND(M94,2)-D94)&lt;0.0051,ABS(ROUND(N94,2)-F94)&lt;0.0051),"OK","REVIEW")</f>
        <v>OK</v>
      </c>
    </row>
    <row r="95" customFormat="false" ht="15" hidden="false" customHeight="false" outlineLevel="0" collapsed="false">
      <c r="A95" s="4" t="s">
        <v>269</v>
      </c>
      <c r="B95" s="4" t="s">
        <v>649</v>
      </c>
      <c r="C95" s="15" t="n">
        <v>233461.45</v>
      </c>
      <c r="D95" s="32" t="n">
        <v>0.05</v>
      </c>
      <c r="E95" s="18" t="n">
        <v>99</v>
      </c>
      <c r="F95" s="32" t="n">
        <v>0.02</v>
      </c>
      <c r="G95" s="24" t="n">
        <v>0.024</v>
      </c>
      <c r="H95" s="15" t="n">
        <v>0.1</v>
      </c>
      <c r="I95" s="15" t="n">
        <v>-5612.99</v>
      </c>
      <c r="J95" s="15" t="n">
        <f aca="false">-ROUND(C95*G95+E95*H95,2)</f>
        <v>-5612.97</v>
      </c>
      <c r="K95" s="15" t="n">
        <f aca="false">ROUND(J95-I95,2)</f>
        <v>0.02</v>
      </c>
      <c r="L95" s="4" t="str">
        <f aca="false">IF(ABS(K95)&lt;0.005,"OK",IF(ABS(K95)&lt;=0.05,"Rounding","REVIEW"))</f>
        <v>Rounding</v>
      </c>
      <c r="M95" s="16" t="n">
        <f aca="false">ABS(C95)/SUMPRODUCT(($A$4:$A$143=A95)*ABS($C$4:$C$143))</f>
        <v>0.0525676581367686</v>
      </c>
      <c r="N95" s="16" t="n">
        <f aca="false">E95/SUMIFS($E$4:$E$143,$A$4:$A$143,A95)</f>
        <v>0.0185393258426966</v>
      </c>
      <c r="O95" s="4" t="str">
        <f aca="false">IF(AND(ABS(ROUND(M95,2)-D95)&lt;0.0051,ABS(ROUND(N95,2)-F95)&lt;0.0051),"OK","REVIEW")</f>
        <v>OK</v>
      </c>
    </row>
    <row r="96" customFormat="false" ht="15" hidden="false" customHeight="false" outlineLevel="0" collapsed="false">
      <c r="A96" s="4" t="s">
        <v>269</v>
      </c>
      <c r="B96" s="4" t="s">
        <v>652</v>
      </c>
      <c r="C96" s="15" t="n">
        <v>37463.35</v>
      </c>
      <c r="D96" s="32" t="n">
        <v>0.01</v>
      </c>
      <c r="E96" s="18" t="n">
        <v>15</v>
      </c>
      <c r="F96" s="32" t="n">
        <v>0</v>
      </c>
      <c r="G96" s="24" t="n">
        <v>0.024</v>
      </c>
      <c r="H96" s="15" t="n">
        <v>0.1</v>
      </c>
      <c r="I96" s="15" t="n">
        <v>-900.64</v>
      </c>
      <c r="J96" s="15" t="n">
        <f aca="false">-ROUND(C96*G96+E96*H96,2)</f>
        <v>-900.62</v>
      </c>
      <c r="K96" s="15" t="n">
        <f aca="false">ROUND(J96-I96,2)</f>
        <v>0.02</v>
      </c>
      <c r="L96" s="4" t="str">
        <f aca="false">IF(ABS(K96)&lt;0.005,"OK",IF(ABS(K96)&lt;=0.05,"Rounding","REVIEW"))</f>
        <v>Rounding</v>
      </c>
      <c r="M96" s="16" t="n">
        <f aca="false">ABS(C96)/SUMPRODUCT(($A$4:$A$143=A96)*ABS($C$4:$C$143))</f>
        <v>0.00843548506812628</v>
      </c>
      <c r="N96" s="16" t="n">
        <f aca="false">E96/SUMIFS($E$4:$E$143,$A$4:$A$143,A96)</f>
        <v>0.00280898876404494</v>
      </c>
      <c r="O96" s="4" t="str">
        <f aca="false">IF(AND(ABS(ROUND(M96,2)-D96)&lt;0.0051,ABS(ROUND(N96,2)-F96)&lt;0.0051),"OK","REVIEW")</f>
        <v>OK</v>
      </c>
    </row>
    <row r="97" customFormat="false" ht="15" hidden="false" customHeight="false" outlineLevel="0" collapsed="false">
      <c r="A97" s="4" t="s">
        <v>269</v>
      </c>
      <c r="B97" s="4" t="s">
        <v>651</v>
      </c>
      <c r="C97" s="15" t="n">
        <v>228931.31</v>
      </c>
      <c r="D97" s="32" t="n">
        <v>0.05</v>
      </c>
      <c r="E97" s="18" t="n">
        <v>50</v>
      </c>
      <c r="F97" s="32" t="n">
        <v>0.01</v>
      </c>
      <c r="G97" s="24" t="n">
        <v>0.03</v>
      </c>
      <c r="H97" s="15" t="n">
        <v>0.1</v>
      </c>
      <c r="I97" s="15" t="n">
        <v>-6880.79</v>
      </c>
      <c r="J97" s="15" t="n">
        <f aca="false">-ROUND(C97*G97+E97*H97,2)</f>
        <v>-6872.94</v>
      </c>
      <c r="K97" s="15" t="n">
        <f aca="false">ROUND(J97-I97,2)</f>
        <v>7.85</v>
      </c>
      <c r="L97" s="4" t="str">
        <f aca="false">IF(ABS(K97)&lt;0.005,"OK",IF(ABS(K97)&lt;=0.05,"Rounding","REVIEW"))</f>
        <v>REVIEW</v>
      </c>
      <c r="M97" s="16" t="n">
        <f aca="false">ABS(C97)/SUMPRODUCT(($A$4:$A$143=A97)*ABS($C$4:$C$143))</f>
        <v>0.0515476231338518</v>
      </c>
      <c r="N97" s="16" t="n">
        <f aca="false">E97/SUMIFS($E$4:$E$143,$A$4:$A$143,A97)</f>
        <v>0.00936329588014981</v>
      </c>
      <c r="O97" s="4" t="str">
        <f aca="false">IF(AND(ABS(ROUND(M97,2)-D97)&lt;0.0051,ABS(ROUND(N97,2)-F97)&lt;0.0051),"OK","REVIEW")</f>
        <v>OK</v>
      </c>
    </row>
    <row r="98" customFormat="false" ht="15" hidden="false" customHeight="false" outlineLevel="0" collapsed="false">
      <c r="A98" s="4" t="s">
        <v>269</v>
      </c>
      <c r="B98" s="4" t="s">
        <v>662</v>
      </c>
      <c r="C98" s="15" t="n">
        <v>201096.92</v>
      </c>
      <c r="D98" s="32" t="n">
        <v>0.05</v>
      </c>
      <c r="E98" s="18" t="n">
        <v>158</v>
      </c>
      <c r="F98" s="32" t="n">
        <v>0.03</v>
      </c>
      <c r="G98" s="24" t="n">
        <v>0.0005</v>
      </c>
      <c r="H98" s="15" t="n">
        <v>0.22</v>
      </c>
      <c r="I98" s="15" t="n">
        <v>-135.31</v>
      </c>
      <c r="J98" s="15" t="n">
        <f aca="false">-ROUND(C98*G98+E98*H98,2)</f>
        <v>-135.31</v>
      </c>
      <c r="K98" s="15" t="n">
        <f aca="false">ROUND(J98-I98,2)</f>
        <v>0</v>
      </c>
      <c r="L98" s="4" t="str">
        <f aca="false">IF(ABS(K98)&lt;0.005,"OK",IF(ABS(K98)&lt;=0.05,"Rounding","REVIEW"))</f>
        <v>OK</v>
      </c>
      <c r="M98" s="16" t="n">
        <f aca="false">ABS(C98)/SUMPRODUCT(($A$4:$A$143=A98)*ABS($C$4:$C$143))</f>
        <v>0.0452802556606973</v>
      </c>
      <c r="N98" s="16" t="n">
        <f aca="false">E98/SUMIFS($E$4:$E$143,$A$4:$A$143,A98)</f>
        <v>0.0295880149812734</v>
      </c>
      <c r="O98" s="4" t="str">
        <f aca="false">IF(AND(ABS(ROUND(M98,2)-D98)&lt;0.0051,ABS(ROUND(N98,2)-F98)&lt;0.0051),"OK","REVIEW")</f>
        <v>OK</v>
      </c>
    </row>
    <row r="99" customFormat="false" ht="15" hidden="false" customHeight="false" outlineLevel="0" collapsed="false">
      <c r="A99" s="4" t="s">
        <v>269</v>
      </c>
      <c r="B99" s="4" t="s">
        <v>671</v>
      </c>
      <c r="C99" s="15" t="n">
        <v>24951.9</v>
      </c>
      <c r="D99" s="32" t="n">
        <v>0.01</v>
      </c>
      <c r="E99" s="18" t="n">
        <v>8</v>
      </c>
      <c r="F99" s="32" t="n">
        <v>0</v>
      </c>
      <c r="G99" s="24" t="n">
        <v>0.028</v>
      </c>
      <c r="H99" s="15" t="n">
        <v>0.1</v>
      </c>
      <c r="I99" s="15" t="n">
        <v>-699.45</v>
      </c>
      <c r="J99" s="15" t="n">
        <f aca="false">-ROUND(C99*G99+E99*H99,2)</f>
        <v>-699.45</v>
      </c>
      <c r="K99" s="15" t="n">
        <f aca="false">ROUND(J99-I99,2)</f>
        <v>0</v>
      </c>
      <c r="L99" s="4" t="str">
        <f aca="false">IF(ABS(K99)&lt;0.005,"OK",IF(ABS(K99)&lt;=0.05,"Rounding","REVIEW"))</f>
        <v>OK</v>
      </c>
      <c r="M99" s="16" t="n">
        <f aca="false">ABS(C99)/SUMPRODUCT(($A$4:$A$143=A99)*ABS($C$4:$C$143))</f>
        <v>0.00561832777558281</v>
      </c>
      <c r="N99" s="16" t="n">
        <f aca="false">E99/SUMIFS($E$4:$E$143,$A$4:$A$143,A99)</f>
        <v>0.00149812734082397</v>
      </c>
      <c r="O99" s="4" t="str">
        <f aca="false">IF(AND(ABS(ROUND(M99,2)-D99)&lt;0.0051,ABS(ROUND(N99,2)-F99)&lt;0.0051),"OK","REVIEW")</f>
        <v>OK</v>
      </c>
    </row>
    <row r="100" customFormat="false" ht="15" hidden="false" customHeight="false" outlineLevel="0" collapsed="false">
      <c r="A100" s="4" t="s">
        <v>269</v>
      </c>
      <c r="B100" s="4" t="s">
        <v>692</v>
      </c>
      <c r="C100" s="15" t="n">
        <v>31453.78</v>
      </c>
      <c r="D100" s="32" t="n">
        <v>0.01</v>
      </c>
      <c r="E100" s="18" t="n">
        <v>41</v>
      </c>
      <c r="F100" s="32" t="n">
        <v>0.01</v>
      </c>
      <c r="G100" s="24" t="n">
        <v>0.0185</v>
      </c>
      <c r="H100" s="15" t="n">
        <v>0.1</v>
      </c>
      <c r="I100" s="15" t="n">
        <v>-586</v>
      </c>
      <c r="J100" s="15" t="n">
        <f aca="false">-ROUND(C100*G100+E100*H100,2)</f>
        <v>-585.99</v>
      </c>
      <c r="K100" s="15" t="n">
        <f aca="false">ROUND(J100-I100,2)</f>
        <v>0.01</v>
      </c>
      <c r="L100" s="4" t="str">
        <f aca="false">IF(ABS(K100)&lt;0.005,"OK",IF(ABS(K100)&lt;=0.05,"Rounding","REVIEW"))</f>
        <v>Rounding</v>
      </c>
      <c r="M100" s="16" t="n">
        <f aca="false">ABS(C100)/SUMPRODUCT(($A$4:$A$143=A100)*ABS($C$4:$C$143))</f>
        <v>0.00708233224007274</v>
      </c>
      <c r="N100" s="16" t="n">
        <f aca="false">E100/SUMIFS($E$4:$E$143,$A$4:$A$143,A100)</f>
        <v>0.00767790262172285</v>
      </c>
      <c r="O100" s="4" t="str">
        <f aca="false">IF(AND(ABS(ROUND(M100,2)-D100)&lt;0.0051,ABS(ROUND(N100,2)-F100)&lt;0.0051),"OK","REVIEW")</f>
        <v>OK</v>
      </c>
    </row>
    <row r="101" customFormat="false" ht="15" hidden="false" customHeight="false" outlineLevel="0" collapsed="false">
      <c r="A101" s="4" t="s">
        <v>269</v>
      </c>
      <c r="B101" s="4" t="s">
        <v>673</v>
      </c>
      <c r="C101" s="15" t="n">
        <v>195253.9</v>
      </c>
      <c r="D101" s="32" t="n">
        <v>0.04</v>
      </c>
      <c r="E101" s="18" t="n">
        <v>424</v>
      </c>
      <c r="F101" s="32" t="n">
        <v>0.08</v>
      </c>
      <c r="G101" s="24" t="n">
        <v>0.0005</v>
      </c>
      <c r="H101" s="15" t="n">
        <v>0.22</v>
      </c>
      <c r="I101" s="15" t="n">
        <v>-190.92</v>
      </c>
      <c r="J101" s="15" t="n">
        <f aca="false">-ROUND(C101*G101+E101*H101,2)</f>
        <v>-190.91</v>
      </c>
      <c r="K101" s="15" t="n">
        <f aca="false">ROUND(J101-I101,2)</f>
        <v>0.01</v>
      </c>
      <c r="L101" s="4" t="str">
        <f aca="false">IF(ABS(K101)&lt;0.005,"OK",IF(ABS(K101)&lt;=0.05,"Rounding","REVIEW"))</f>
        <v>Rounding</v>
      </c>
      <c r="M101" s="16" t="n">
        <f aca="false">ABS(C101)/SUMPRODUCT(($A$4:$A$143=A101)*ABS($C$4:$C$143))</f>
        <v>0.0439646042850792</v>
      </c>
      <c r="N101" s="16" t="n">
        <f aca="false">E101/SUMIFS($E$4:$E$143,$A$4:$A$143,A101)</f>
        <v>0.0794007490636704</v>
      </c>
      <c r="O101" s="4" t="str">
        <f aca="false">IF(AND(ABS(ROUND(M101,2)-D101)&lt;0.0051,ABS(ROUND(N101,2)-F101)&lt;0.0051),"OK","REVIEW")</f>
        <v>OK</v>
      </c>
    </row>
    <row r="102" customFormat="false" ht="15" hidden="false" customHeight="false" outlineLevel="0" collapsed="false">
      <c r="A102" s="4" t="s">
        <v>269</v>
      </c>
      <c r="B102" s="4" t="s">
        <v>636</v>
      </c>
      <c r="C102" s="15" t="n">
        <v>7284.52</v>
      </c>
      <c r="D102" s="32" t="n">
        <v>0</v>
      </c>
      <c r="E102" s="18" t="n">
        <v>1</v>
      </c>
      <c r="F102" s="32" t="n">
        <v>0</v>
      </c>
      <c r="G102" s="24" t="n">
        <v>0.012</v>
      </c>
      <c r="H102" s="15" t="n">
        <v>39</v>
      </c>
      <c r="I102" s="15" t="n">
        <v>-126.41</v>
      </c>
      <c r="J102" s="15" t="n">
        <f aca="false">-ROUND(C102*G102+E102*H102,2)</f>
        <v>-126.41</v>
      </c>
      <c r="K102" s="15" t="n">
        <f aca="false">ROUND(J102-I102,2)</f>
        <v>0</v>
      </c>
      <c r="L102" s="4" t="str">
        <f aca="false">IF(ABS(K102)&lt;0.005,"OK",IF(ABS(K102)&lt;=0.05,"Rounding","REVIEW"))</f>
        <v>OK</v>
      </c>
      <c r="M102" s="16" t="n">
        <f aca="false">ABS(C102)/SUMPRODUCT(($A$4:$A$143=A102)*ABS($C$4:$C$143))</f>
        <v>0.0016402286418184</v>
      </c>
      <c r="N102" s="16" t="n">
        <f aca="false">E102/SUMIFS($E$4:$E$143,$A$4:$A$143,A102)</f>
        <v>0.000187265917602996</v>
      </c>
      <c r="O102" s="4" t="str">
        <f aca="false">IF(AND(ABS(ROUND(M102,2)-D102)&lt;0.0051,ABS(ROUND(N102,2)-F102)&lt;0.0051),"OK","REVIEW")</f>
        <v>OK</v>
      </c>
    </row>
    <row r="103" customFormat="false" ht="15" hidden="false" customHeight="false" outlineLevel="0" collapsed="false">
      <c r="A103" s="4" t="s">
        <v>269</v>
      </c>
      <c r="B103" s="4" t="s">
        <v>632</v>
      </c>
      <c r="C103" s="15" t="n">
        <v>1205.07</v>
      </c>
      <c r="D103" s="32" t="n">
        <v>0</v>
      </c>
      <c r="E103" s="18" t="n">
        <v>26</v>
      </c>
      <c r="F103" s="32" t="n">
        <v>0</v>
      </c>
      <c r="G103" s="24" t="n">
        <v>0.023</v>
      </c>
      <c r="H103" s="15" t="n">
        <v>0.1</v>
      </c>
      <c r="I103" s="15" t="n">
        <v>-30.31</v>
      </c>
      <c r="J103" s="15" t="n">
        <f aca="false">-ROUND(C103*G103+E103*H103,2)</f>
        <v>-30.32</v>
      </c>
      <c r="K103" s="15" t="n">
        <f aca="false">ROUND(J103-I103,2)</f>
        <v>-0.01</v>
      </c>
      <c r="L103" s="4" t="str">
        <f aca="false">IF(ABS(K103)&lt;0.005,"OK",IF(ABS(K103)&lt;=0.05,"Rounding","REVIEW"))</f>
        <v>Rounding</v>
      </c>
      <c r="M103" s="16" t="n">
        <f aca="false">ABS(C103)/SUMPRODUCT(($A$4:$A$143=A103)*ABS($C$4:$C$143))</f>
        <v>0.000271341190551484</v>
      </c>
      <c r="N103" s="16" t="n">
        <f aca="false">E103/SUMIFS($E$4:$E$143,$A$4:$A$143,A103)</f>
        <v>0.0048689138576779</v>
      </c>
      <c r="O103" s="4" t="str">
        <f aca="false">IF(AND(ABS(ROUND(M103,2)-D103)&lt;0.0051,ABS(ROUND(N103,2)-F103)&lt;0.0051),"OK","REVIEW")</f>
        <v>OK</v>
      </c>
    </row>
    <row r="104" customFormat="false" ht="15" hidden="false" customHeight="false" outlineLevel="0" collapsed="false">
      <c r="A104" s="4" t="s">
        <v>269</v>
      </c>
      <c r="B104" s="4" t="s">
        <v>631</v>
      </c>
      <c r="C104" s="15" t="n">
        <v>5539.86</v>
      </c>
      <c r="D104" s="32" t="n">
        <v>0</v>
      </c>
      <c r="E104" s="18" t="n">
        <v>9</v>
      </c>
      <c r="F104" s="32" t="n">
        <v>0</v>
      </c>
      <c r="G104" s="24" t="n">
        <v>0.025</v>
      </c>
      <c r="H104" s="15" t="n">
        <v>0.1</v>
      </c>
      <c r="I104" s="15" t="n">
        <v>-139.39</v>
      </c>
      <c r="J104" s="15" t="n">
        <f aca="false">-ROUND(C104*G104+E104*H104,2)</f>
        <v>-139.4</v>
      </c>
      <c r="K104" s="15" t="n">
        <f aca="false">ROUND(J104-I104,2)</f>
        <v>-0.01</v>
      </c>
      <c r="L104" s="4" t="str">
        <f aca="false">IF(ABS(K104)&lt;0.005,"OK",IF(ABS(K104)&lt;=0.05,"Rounding","REVIEW"))</f>
        <v>Rounding</v>
      </c>
      <c r="M104" s="16" t="n">
        <f aca="false">ABS(C104)/SUMPRODUCT(($A$4:$A$143=A104)*ABS($C$4:$C$143))</f>
        <v>0.00124738995069875</v>
      </c>
      <c r="N104" s="16" t="n">
        <f aca="false">E104/SUMIFS($E$4:$E$143,$A$4:$A$143,A104)</f>
        <v>0.00168539325842697</v>
      </c>
      <c r="O104" s="4" t="str">
        <f aca="false">IF(AND(ABS(ROUND(M104,2)-D104)&lt;0.0051,ABS(ROUND(N104,2)-F104)&lt;0.0051),"OK","REVIEW")</f>
        <v>OK</v>
      </c>
    </row>
    <row r="105" customFormat="false" ht="15" hidden="false" customHeight="false" outlineLevel="0" collapsed="false">
      <c r="A105" s="4" t="s">
        <v>269</v>
      </c>
      <c r="B105" s="4" t="s">
        <v>654</v>
      </c>
      <c r="C105" s="15" t="n">
        <v>6881.92</v>
      </c>
      <c r="D105" s="32" t="n">
        <v>0</v>
      </c>
      <c r="E105" s="18" t="n">
        <v>6</v>
      </c>
      <c r="F105" s="32" t="n">
        <v>0</v>
      </c>
      <c r="G105" s="24" t="n">
        <v>0.019</v>
      </c>
      <c r="H105" s="15" t="n">
        <v>0.1</v>
      </c>
      <c r="I105" s="15" t="n">
        <v>-131.35</v>
      </c>
      <c r="J105" s="15" t="n">
        <f aca="false">-ROUND(C105*G105+E105*H105,2)</f>
        <v>-131.36</v>
      </c>
      <c r="K105" s="15" t="n">
        <f aca="false">ROUND(J105-I105,2)</f>
        <v>-0.01</v>
      </c>
      <c r="L105" s="4" t="str">
        <f aca="false">IF(ABS(K105)&lt;0.005,"OK",IF(ABS(K105)&lt;=0.05,"Rounding","REVIEW"))</f>
        <v>Rounding</v>
      </c>
      <c r="M105" s="16" t="n">
        <f aca="false">ABS(C105)/SUMPRODUCT(($A$4:$A$143=A105)*ABS($C$4:$C$143))</f>
        <v>0.00154957667693999</v>
      </c>
      <c r="N105" s="16" t="n">
        <f aca="false">E105/SUMIFS($E$4:$E$143,$A$4:$A$143,A105)</f>
        <v>0.00112359550561798</v>
      </c>
      <c r="O105" s="4" t="str">
        <f aca="false">IF(AND(ABS(ROUND(M105,2)-D105)&lt;0.0051,ABS(ROUND(N105,2)-F105)&lt;0.0051),"OK","REVIEW")</f>
        <v>OK</v>
      </c>
    </row>
    <row r="106" customFormat="false" ht="15" hidden="false" customHeight="false" outlineLevel="0" collapsed="false">
      <c r="A106" s="4" t="s">
        <v>269</v>
      </c>
      <c r="B106" s="4" t="s">
        <v>666</v>
      </c>
      <c r="C106" s="15" t="n">
        <v>10360.71</v>
      </c>
      <c r="D106" s="32" t="n">
        <v>0</v>
      </c>
      <c r="E106" s="18" t="n">
        <v>186</v>
      </c>
      <c r="F106" s="32" t="n">
        <v>0.03</v>
      </c>
      <c r="G106" s="24" t="n">
        <v>0.021</v>
      </c>
      <c r="H106" s="15" t="n">
        <v>0.1</v>
      </c>
      <c r="I106" s="15" t="n">
        <v>-236.16</v>
      </c>
      <c r="J106" s="15" t="n">
        <f aca="false">-ROUND(C106*G106+E106*H106,2)</f>
        <v>-236.17</v>
      </c>
      <c r="K106" s="15" t="n">
        <f aca="false">ROUND(J106-I106,2)</f>
        <v>-0.01</v>
      </c>
      <c r="L106" s="4" t="str">
        <f aca="false">IF(ABS(K106)&lt;0.005,"OK",IF(ABS(K106)&lt;=0.05,"Rounding","REVIEW"))</f>
        <v>Rounding</v>
      </c>
      <c r="M106" s="16" t="n">
        <f aca="false">ABS(C106)/SUMPRODUCT(($A$4:$A$143=A106)*ABS($C$4:$C$143))</f>
        <v>0.00233288305771338</v>
      </c>
      <c r="N106" s="16" t="n">
        <f aca="false">E106/SUMIFS($E$4:$E$143,$A$4:$A$143,A106)</f>
        <v>0.0348314606741573</v>
      </c>
      <c r="O106" s="4" t="str">
        <f aca="false">IF(AND(ABS(ROUND(M106,2)-D106)&lt;0.0051,ABS(ROUND(N106,2)-F106)&lt;0.0051),"OK","REVIEW")</f>
        <v>OK</v>
      </c>
    </row>
    <row r="107" customFormat="false" ht="15" hidden="false" customHeight="false" outlineLevel="0" collapsed="false">
      <c r="A107" s="4" t="s">
        <v>269</v>
      </c>
      <c r="B107" s="4" t="s">
        <v>747</v>
      </c>
      <c r="C107" s="15" t="n">
        <v>-62577.22</v>
      </c>
      <c r="D107" s="32" t="n">
        <v>0.01</v>
      </c>
      <c r="E107" s="18" t="n">
        <v>143</v>
      </c>
      <c r="F107" s="32" t="n">
        <v>0.03</v>
      </c>
      <c r="G107" s="24" t="n">
        <v>0</v>
      </c>
      <c r="H107" s="15" t="n">
        <v>0</v>
      </c>
      <c r="I107" s="15" t="n">
        <v>0</v>
      </c>
      <c r="J107" s="15" t="n">
        <v>0</v>
      </c>
      <c r="K107" s="15" t="n">
        <f aca="false">ROUND(J107-I107,2)</f>
        <v>0</v>
      </c>
      <c r="L107" s="4" t="str">
        <f aca="false">IF(ABS(K107)&lt;0.005,"OK",IF(ABS(K107)&lt;=0.05,"Rounding","REVIEW"))</f>
        <v>OK</v>
      </c>
      <c r="M107" s="16" t="n">
        <f aca="false">ABS(C107)/SUMPRODUCT(($A$4:$A$143=A107)*ABS($C$4:$C$143))</f>
        <v>0.0140902830343483</v>
      </c>
      <c r="N107" s="16" t="n">
        <f aca="false">E107/SUMIFS($E$4:$E$143,$A$4:$A$143,A107)</f>
        <v>0.0267790262172285</v>
      </c>
      <c r="O107" s="4" t="str">
        <f aca="false">IF(AND(ABS(ROUND(M107,2)-D107)&lt;0.0051,ABS(ROUND(N107,2)-F107)&lt;0.0051),"OK","REVIEW")</f>
        <v>OK</v>
      </c>
    </row>
    <row r="108" customFormat="false" ht="15" hidden="false" customHeight="false" outlineLevel="0" collapsed="false">
      <c r="A108" s="4" t="s">
        <v>269</v>
      </c>
      <c r="B108" s="4" t="s">
        <v>668</v>
      </c>
      <c r="C108" s="15" t="n">
        <v>48717.21</v>
      </c>
      <c r="D108" s="32" t="n">
        <v>0.01</v>
      </c>
      <c r="E108" s="18" t="n">
        <v>162</v>
      </c>
      <c r="F108" s="32" t="n">
        <v>0.03</v>
      </c>
      <c r="G108" s="24" t="n">
        <v>0.008</v>
      </c>
      <c r="H108" s="15" t="n">
        <v>0.15</v>
      </c>
      <c r="I108" s="15" t="n">
        <v>-414</v>
      </c>
      <c r="J108" s="15" t="n">
        <f aca="false">-ROUND(C108*G108+E108*H108,2)</f>
        <v>-414.04</v>
      </c>
      <c r="K108" s="15" t="n">
        <f aca="false">ROUND(J108-I108,2)</f>
        <v>-0.04</v>
      </c>
      <c r="L108" s="4" t="str">
        <f aca="false">IF(ABS(K108)&lt;0.005,"OK",IF(ABS(K108)&lt;=0.05,"Rounding","REVIEW"))</f>
        <v>Rounding</v>
      </c>
      <c r="M108" s="16" t="n">
        <f aca="false">ABS(C108)/SUMPRODUCT(($A$4:$A$143=A108)*ABS($C$4:$C$143))</f>
        <v>0.0109694754344118</v>
      </c>
      <c r="N108" s="16" t="n">
        <f aca="false">E108/SUMIFS($E$4:$E$143,$A$4:$A$143,A108)</f>
        <v>0.0303370786516854</v>
      </c>
      <c r="O108" s="4" t="str">
        <f aca="false">IF(AND(ABS(ROUND(M108,2)-D108)&lt;0.0051,ABS(ROUND(N108,2)-F108)&lt;0.0051),"OK","REVIEW")</f>
        <v>OK</v>
      </c>
    </row>
    <row r="109" customFormat="false" ht="15" hidden="false" customHeight="false" outlineLevel="0" collapsed="false">
      <c r="A109" s="4" t="s">
        <v>269</v>
      </c>
      <c r="B109" s="4" t="s">
        <v>643</v>
      </c>
      <c r="C109" s="15" t="n">
        <v>179297.41</v>
      </c>
      <c r="D109" s="32" t="n">
        <v>0.04</v>
      </c>
      <c r="E109" s="18" t="n">
        <v>137</v>
      </c>
      <c r="F109" s="32" t="n">
        <v>0.03</v>
      </c>
      <c r="G109" s="24" t="n">
        <v>0.0295</v>
      </c>
      <c r="H109" s="15" t="n">
        <v>0.1</v>
      </c>
      <c r="I109" s="15" t="n">
        <v>-5302.98</v>
      </c>
      <c r="J109" s="15" t="n">
        <f aca="false">-ROUND(C109*G109+E109*H109,2)</f>
        <v>-5302.97</v>
      </c>
      <c r="K109" s="15" t="n">
        <f aca="false">ROUND(J109-I109,2)</f>
        <v>0.01</v>
      </c>
      <c r="L109" s="4" t="str">
        <f aca="false">IF(ABS(K109)&lt;0.005,"OK",IF(ABS(K109)&lt;=0.05,"Rounding","REVIEW"))</f>
        <v>Rounding</v>
      </c>
      <c r="M109" s="16" t="n">
        <f aca="false">ABS(C109)/SUMPRODUCT(($A$4:$A$143=A109)*ABS($C$4:$C$143))</f>
        <v>0.0403717399754351</v>
      </c>
      <c r="N109" s="16" t="n">
        <f aca="false">E109/SUMIFS($E$4:$E$143,$A$4:$A$143,A109)</f>
        <v>0.0256554307116105</v>
      </c>
      <c r="O109" s="4" t="str">
        <f aca="false">IF(AND(ABS(ROUND(M109,2)-D109)&lt;0.0051,ABS(ROUND(N109,2)-F109)&lt;0.0051),"OK","REVIEW")</f>
        <v>OK</v>
      </c>
    </row>
    <row r="110" customFormat="false" ht="15" hidden="false" customHeight="false" outlineLevel="0" collapsed="false">
      <c r="A110" s="4" t="s">
        <v>269</v>
      </c>
      <c r="B110" s="4" t="s">
        <v>691</v>
      </c>
      <c r="C110" s="15" t="n">
        <v>215.7</v>
      </c>
      <c r="D110" s="32" t="n">
        <v>0</v>
      </c>
      <c r="E110" s="18" t="n">
        <v>20</v>
      </c>
      <c r="F110" s="32" t="n">
        <v>0</v>
      </c>
      <c r="G110" s="24" t="n">
        <v>0.0155</v>
      </c>
      <c r="H110" s="15" t="n">
        <v>0.04</v>
      </c>
      <c r="I110" s="15" t="n">
        <v>-4.15</v>
      </c>
      <c r="J110" s="15" t="n">
        <f aca="false">-ROUND(C110*G110+E110*H110,2)</f>
        <v>-4.14</v>
      </c>
      <c r="K110" s="15" t="n">
        <f aca="false">ROUND(J110-I110,2)</f>
        <v>0.01</v>
      </c>
      <c r="L110" s="4" t="str">
        <f aca="false">IF(ABS(K110)&lt;0.005,"OK",IF(ABS(K110)&lt;=0.05,"Rounding","REVIEW"))</f>
        <v>Rounding</v>
      </c>
      <c r="M110" s="16" t="n">
        <f aca="false">ABS(C110)/SUMPRODUCT(($A$4:$A$143=A110)*ABS($C$4:$C$143))</f>
        <v>4.85683776062429E-005</v>
      </c>
      <c r="N110" s="16" t="n">
        <f aca="false">E110/SUMIFS($E$4:$E$143,$A$4:$A$143,A110)</f>
        <v>0.00374531835205993</v>
      </c>
      <c r="O110" s="4" t="str">
        <f aca="false">IF(AND(ABS(ROUND(M110,2)-D110)&lt;0.0051,ABS(ROUND(N110,2)-F110)&lt;0.0051),"OK","REVIEW")</f>
        <v>OK</v>
      </c>
    </row>
    <row r="111" customFormat="false" ht="15" hidden="false" customHeight="false" outlineLevel="0" collapsed="false">
      <c r="A111" s="4" t="s">
        <v>269</v>
      </c>
      <c r="B111" s="4" t="s">
        <v>660</v>
      </c>
      <c r="C111" s="15" t="n">
        <v>513.16</v>
      </c>
      <c r="D111" s="32" t="n">
        <v>0</v>
      </c>
      <c r="E111" s="18" t="n">
        <v>52</v>
      </c>
      <c r="F111" s="32" t="n">
        <v>0.01</v>
      </c>
      <c r="G111" s="24" t="n">
        <v>0.0005</v>
      </c>
      <c r="H111" s="15" t="n">
        <v>0.22</v>
      </c>
      <c r="I111" s="15" t="n">
        <v>-11.69</v>
      </c>
      <c r="J111" s="15" t="n">
        <f aca="false">-ROUND(C111*G111+E111*H111,2)</f>
        <v>-11.7</v>
      </c>
      <c r="K111" s="15" t="n">
        <f aca="false">ROUND(J111-I111,2)</f>
        <v>-0.01</v>
      </c>
      <c r="L111" s="4" t="str">
        <f aca="false">IF(ABS(K111)&lt;0.005,"OK",IF(ABS(K111)&lt;=0.05,"Rounding","REVIEW"))</f>
        <v>Rounding</v>
      </c>
      <c r="M111" s="16" t="n">
        <f aca="false">ABS(C111)/SUMPRODUCT(($A$4:$A$143=A111)*ABS($C$4:$C$143))</f>
        <v>0.000115546354438663</v>
      </c>
      <c r="N111" s="16" t="n">
        <f aca="false">E111/SUMIFS($E$4:$E$143,$A$4:$A$143,A111)</f>
        <v>0.00973782771535581</v>
      </c>
      <c r="O111" s="4" t="str">
        <f aca="false">IF(AND(ABS(ROUND(M111,2)-D111)&lt;0.0051,ABS(ROUND(N111,2)-F111)&lt;0.0051),"OK","REVIEW")</f>
        <v>OK</v>
      </c>
    </row>
    <row r="112" customFormat="false" ht="15" hidden="false" customHeight="false" outlineLevel="0" collapsed="false">
      <c r="A112" s="4" t="s">
        <v>269</v>
      </c>
      <c r="B112" s="4" t="s">
        <v>659</v>
      </c>
      <c r="C112" s="15" t="n">
        <v>139.48</v>
      </c>
      <c r="D112" s="32" t="n">
        <v>0</v>
      </c>
      <c r="E112" s="18" t="n">
        <v>4</v>
      </c>
      <c r="F112" s="32" t="n">
        <v>0</v>
      </c>
      <c r="G112" s="24" t="n">
        <v>0.026</v>
      </c>
      <c r="H112" s="15" t="n">
        <v>0.1</v>
      </c>
      <c r="I112" s="15" t="n">
        <v>-4.02</v>
      </c>
      <c r="J112" s="15" t="n">
        <f aca="false">-ROUND(C112*G112+E112*H112,2)</f>
        <v>-4.03</v>
      </c>
      <c r="K112" s="15" t="n">
        <f aca="false">ROUND(J112-I112,2)</f>
        <v>-0.01</v>
      </c>
      <c r="L112" s="4" t="str">
        <f aca="false">IF(ABS(K112)&lt;0.005,"OK",IF(ABS(K112)&lt;=0.05,"Rounding","REVIEW"))</f>
        <v>Rounding</v>
      </c>
      <c r="M112" s="16" t="n">
        <f aca="false">ABS(C112)/SUMPRODUCT(($A$4:$A$143=A112)*ABS($C$4:$C$143))</f>
        <v>3.14061998540508E-005</v>
      </c>
      <c r="N112" s="16" t="n">
        <f aca="false">E112/SUMIFS($E$4:$E$143,$A$4:$A$143,A112)</f>
        <v>0.000749063670411985</v>
      </c>
      <c r="O112" s="4" t="str">
        <f aca="false">IF(AND(ABS(ROUND(M112,2)-D112)&lt;0.0051,ABS(ROUND(N112,2)-F112)&lt;0.0051),"OK","REVIEW")</f>
        <v>OK</v>
      </c>
    </row>
    <row r="113" customFormat="false" ht="15" hidden="false" customHeight="false" outlineLevel="0" collapsed="false">
      <c r="A113" s="4" t="s">
        <v>269</v>
      </c>
      <c r="B113" s="4" t="s">
        <v>748</v>
      </c>
      <c r="C113" s="15" t="n">
        <v>-41323.31</v>
      </c>
      <c r="D113" s="32" t="n">
        <v>0.01</v>
      </c>
      <c r="E113" s="18" t="n">
        <v>75</v>
      </c>
      <c r="F113" s="32" t="n">
        <v>0.01</v>
      </c>
      <c r="G113" s="24" t="n">
        <v>0</v>
      </c>
      <c r="H113" s="15" t="n">
        <v>0</v>
      </c>
      <c r="I113" s="15" t="n">
        <v>0</v>
      </c>
      <c r="J113" s="15" t="n">
        <v>0</v>
      </c>
      <c r="K113" s="15" t="n">
        <f aca="false">ROUND(J113-I113,2)</f>
        <v>0</v>
      </c>
      <c r="L113" s="4" t="str">
        <f aca="false">IF(ABS(K113)&lt;0.005,"OK",IF(ABS(K113)&lt;=0.05,"Rounding","REVIEW"))</f>
        <v>OK</v>
      </c>
      <c r="M113" s="16" t="n">
        <f aca="false">ABS(C113)/SUMPRODUCT(($A$4:$A$143=A113)*ABS($C$4:$C$143))</f>
        <v>0.00930461809930381</v>
      </c>
      <c r="N113" s="16" t="n">
        <f aca="false">E113/SUMIFS($E$4:$E$143,$A$4:$A$143,A113)</f>
        <v>0.0140449438202247</v>
      </c>
      <c r="O113" s="4" t="str">
        <f aca="false">IF(AND(ABS(ROUND(M113,2)-D113)&lt;0.0051,ABS(ROUND(N113,2)-F113)&lt;0.0051),"OK","REVIEW")</f>
        <v>OK</v>
      </c>
    </row>
    <row r="114" customFormat="false" ht="15" hidden="false" customHeight="false" outlineLevel="0" collapsed="false">
      <c r="A114" s="4" t="s">
        <v>269</v>
      </c>
      <c r="B114" s="4" t="s">
        <v>685</v>
      </c>
      <c r="C114" s="15" t="n">
        <v>40191.67</v>
      </c>
      <c r="D114" s="32" t="n">
        <v>0.01</v>
      </c>
      <c r="E114" s="18" t="n">
        <v>11</v>
      </c>
      <c r="F114" s="32" t="n">
        <v>0</v>
      </c>
      <c r="G114" s="24" t="n">
        <v>0.0285</v>
      </c>
      <c r="H114" s="15" t="n">
        <v>0.1</v>
      </c>
      <c r="I114" s="15" t="n">
        <v>-1146.56</v>
      </c>
      <c r="J114" s="15" t="n">
        <f aca="false">-ROUND(C114*G114+E114*H114,2)</f>
        <v>-1146.56</v>
      </c>
      <c r="K114" s="15" t="n">
        <f aca="false">ROUND(J114-I114,2)</f>
        <v>0</v>
      </c>
      <c r="L114" s="4" t="str">
        <f aca="false">IF(ABS(K114)&lt;0.005,"OK",IF(ABS(K114)&lt;=0.05,"Rounding","REVIEW"))</f>
        <v>OK</v>
      </c>
      <c r="M114" s="16" t="n">
        <f aca="false">ABS(C114)/SUMPRODUCT(($A$4:$A$143=A114)*ABS($C$4:$C$143))</f>
        <v>0.0090498108724409</v>
      </c>
      <c r="N114" s="16" t="n">
        <f aca="false">E114/SUMIFS($E$4:$E$143,$A$4:$A$143,A114)</f>
        <v>0.00205992509363296</v>
      </c>
      <c r="O114" s="4" t="str">
        <f aca="false">IF(AND(ABS(ROUND(M114,2)-D114)&lt;0.0051,ABS(ROUND(N114,2)-F114)&lt;0.0051),"OK","REVIEW")</f>
        <v>OK</v>
      </c>
    </row>
    <row r="115" customFormat="false" ht="15" hidden="false" customHeight="false" outlineLevel="0" collapsed="false">
      <c r="A115" s="4" t="s">
        <v>269</v>
      </c>
      <c r="B115" s="4" t="s">
        <v>678</v>
      </c>
      <c r="C115" s="15" t="n">
        <v>81.83</v>
      </c>
      <c r="D115" s="32" t="n">
        <v>0</v>
      </c>
      <c r="E115" s="18" t="n">
        <v>2</v>
      </c>
      <c r="F115" s="32" t="n">
        <v>0</v>
      </c>
      <c r="G115" s="24" t="n">
        <v>0.0215</v>
      </c>
      <c r="H115" s="15" t="n">
        <v>0.1</v>
      </c>
      <c r="I115" s="15" t="n">
        <v>-1.96</v>
      </c>
      <c r="J115" s="15" t="n">
        <f aca="false">-ROUND(C115*G115+E115*H115,2)</f>
        <v>-1.96</v>
      </c>
      <c r="K115" s="15" t="n">
        <f aca="false">ROUND(J115-I115,2)</f>
        <v>0</v>
      </c>
      <c r="L115" s="4" t="str">
        <f aca="false">IF(ABS(K115)&lt;0.005,"OK",IF(ABS(K115)&lt;=0.05,"Rounding","REVIEW"))</f>
        <v>OK</v>
      </c>
      <c r="M115" s="16" t="n">
        <f aca="false">ABS(C115)/SUMPRODUCT(($A$4:$A$143=A115)*ABS($C$4:$C$143))</f>
        <v>1.84253608693503E-005</v>
      </c>
      <c r="N115" s="16" t="n">
        <f aca="false">E115/SUMIFS($E$4:$E$143,$A$4:$A$143,A115)</f>
        <v>0.000374531835205993</v>
      </c>
      <c r="O115" s="4" t="str">
        <f aca="false">IF(AND(ABS(ROUND(M115,2)-D115)&lt;0.0051,ABS(ROUND(N115,2)-F115)&lt;0.0051),"OK","REVIEW")</f>
        <v>OK</v>
      </c>
    </row>
    <row r="116" customFormat="false" ht="15" hidden="false" customHeight="false" outlineLevel="0" collapsed="false">
      <c r="A116" s="4" t="s">
        <v>269</v>
      </c>
      <c r="B116" s="4" t="s">
        <v>677</v>
      </c>
      <c r="C116" s="15" t="n">
        <v>9842.57</v>
      </c>
      <c r="D116" s="32" t="n">
        <v>0</v>
      </c>
      <c r="E116" s="18" t="n">
        <v>6</v>
      </c>
      <c r="F116" s="32" t="n">
        <v>0</v>
      </c>
      <c r="G116" s="24" t="n">
        <v>0.018</v>
      </c>
      <c r="H116" s="15" t="n">
        <v>0.1</v>
      </c>
      <c r="I116" s="15" t="n">
        <v>-177.76</v>
      </c>
      <c r="J116" s="15" t="n">
        <f aca="false">-ROUND(C116*G116+E116*H116,2)</f>
        <v>-177.77</v>
      </c>
      <c r="K116" s="15" t="n">
        <f aca="false">ROUND(J116-I116,2)</f>
        <v>-0.01</v>
      </c>
      <c r="L116" s="4" t="str">
        <f aca="false">IF(ABS(K116)&lt;0.005,"OK",IF(ABS(K116)&lt;=0.05,"Rounding","REVIEW"))</f>
        <v>Rounding</v>
      </c>
      <c r="M116" s="16" t="n">
        <f aca="false">ABS(C116)/SUMPRODUCT(($A$4:$A$143=A116)*ABS($C$4:$C$143))</f>
        <v>0.00221621537494612</v>
      </c>
      <c r="N116" s="16" t="n">
        <f aca="false">E116/SUMIFS($E$4:$E$143,$A$4:$A$143,A116)</f>
        <v>0.00112359550561798</v>
      </c>
      <c r="O116" s="4" t="str">
        <f aca="false">IF(AND(ABS(ROUND(M116,2)-D116)&lt;0.0051,ABS(ROUND(N116,2)-F116)&lt;0.0051),"OK","REVIEW")</f>
        <v>OK</v>
      </c>
    </row>
    <row r="117" customFormat="false" ht="15" hidden="false" customHeight="false" outlineLevel="0" collapsed="false">
      <c r="A117" s="4" t="s">
        <v>269</v>
      </c>
      <c r="B117" s="4" t="s">
        <v>637</v>
      </c>
      <c r="C117" s="15" t="n">
        <v>11290.93</v>
      </c>
      <c r="D117" s="32" t="n">
        <v>0</v>
      </c>
      <c r="E117" s="18" t="n">
        <v>37</v>
      </c>
      <c r="F117" s="32" t="n">
        <v>0.01</v>
      </c>
      <c r="G117" s="24" t="n">
        <v>0.025</v>
      </c>
      <c r="H117" s="15" t="n">
        <v>0.1</v>
      </c>
      <c r="I117" s="15" t="n">
        <v>-285.96</v>
      </c>
      <c r="J117" s="15" t="n">
        <f aca="false">-ROUND(C117*G117+E117*H117,2)</f>
        <v>-285.97</v>
      </c>
      <c r="K117" s="15" t="n">
        <f aca="false">ROUND(J117-I117,2)</f>
        <v>-0.01</v>
      </c>
      <c r="L117" s="4" t="str">
        <f aca="false">IF(ABS(K117)&lt;0.005,"OK",IF(ABS(K117)&lt;=0.05,"Rounding","REVIEW"))</f>
        <v>Rounding</v>
      </c>
      <c r="M117" s="16" t="n">
        <f aca="false">ABS(C117)/SUMPRODUCT(($A$4:$A$143=A117)*ABS($C$4:$C$143))</f>
        <v>0.00254233728217736</v>
      </c>
      <c r="N117" s="16" t="n">
        <f aca="false">E117/SUMIFS($E$4:$E$143,$A$4:$A$143,A117)</f>
        <v>0.00692883895131086</v>
      </c>
      <c r="O117" s="4" t="str">
        <f aca="false">IF(AND(ABS(ROUND(M117,2)-D117)&lt;0.0051,ABS(ROUND(N117,2)-F117)&lt;0.0051),"OK","REVIEW")</f>
        <v>OK</v>
      </c>
    </row>
    <row r="118" customFormat="false" ht="15" hidden="false" customHeight="false" outlineLevel="0" collapsed="false">
      <c r="A118" s="4" t="s">
        <v>270</v>
      </c>
      <c r="B118" s="4" t="s">
        <v>749</v>
      </c>
      <c r="C118" s="15" t="n">
        <v>-910.71</v>
      </c>
      <c r="D118" s="32" t="n">
        <v>0.01</v>
      </c>
      <c r="E118" s="18" t="n">
        <v>2</v>
      </c>
      <c r="F118" s="32" t="n">
        <v>0.01</v>
      </c>
      <c r="G118" s="24" t="n">
        <v>0</v>
      </c>
      <c r="H118" s="15" t="n">
        <v>0</v>
      </c>
      <c r="I118" s="15" t="n">
        <v>0</v>
      </c>
      <c r="J118" s="15" t="n">
        <v>0</v>
      </c>
      <c r="K118" s="15" t="n">
        <f aca="false">ROUND(J118-I118,2)</f>
        <v>0</v>
      </c>
      <c r="L118" s="4" t="str">
        <f aca="false">IF(ABS(K118)&lt;0.005,"OK",IF(ABS(K118)&lt;=0.05,"Rounding","REVIEW"))</f>
        <v>OK</v>
      </c>
      <c r="M118" s="16" t="n">
        <f aca="false">ABS(C118)/SUMPRODUCT(($A$4:$A$143=A118)*ABS($C$4:$C$143))</f>
        <v>0.00582163739568616</v>
      </c>
      <c r="N118" s="16" t="n">
        <f aca="false">E118/SUMIFS($E$4:$E$143,$A$4:$A$143,A118)</f>
        <v>0.0099009900990099</v>
      </c>
      <c r="O118" s="4" t="str">
        <f aca="false">IF(AND(ABS(ROUND(M118,2)-D118)&lt;0.0051,ABS(ROUND(N118,2)-F118)&lt;0.0051),"OK","REVIEW")</f>
        <v>OK</v>
      </c>
    </row>
    <row r="119" customFormat="false" ht="15" hidden="false" customHeight="false" outlineLevel="0" collapsed="false">
      <c r="A119" s="4" t="s">
        <v>270</v>
      </c>
      <c r="B119" s="4" t="s">
        <v>708</v>
      </c>
      <c r="C119" s="15" t="n">
        <v>13791.62</v>
      </c>
      <c r="D119" s="32" t="n">
        <v>0.09</v>
      </c>
      <c r="E119" s="18" t="n">
        <v>7</v>
      </c>
      <c r="F119" s="32" t="n">
        <v>0.03</v>
      </c>
      <c r="G119" s="24" t="n">
        <v>0.0203</v>
      </c>
      <c r="H119" s="15" t="n">
        <v>0.1</v>
      </c>
      <c r="I119" s="15" t="n">
        <v>-280.68</v>
      </c>
      <c r="J119" s="15" t="n">
        <f aca="false">-ROUND(C119*G119+E119*H119,2)</f>
        <v>-280.67</v>
      </c>
      <c r="K119" s="15" t="n">
        <f aca="false">ROUND(J119-I119,2)</f>
        <v>0.01</v>
      </c>
      <c r="L119" s="4" t="str">
        <f aca="false">IF(ABS(K119)&lt;0.005,"OK",IF(ABS(K119)&lt;=0.05,"Rounding","REVIEW"))</f>
        <v>Rounding</v>
      </c>
      <c r="M119" s="16" t="n">
        <f aca="false">ABS(C119)/SUMPRODUCT(($A$4:$A$143=A119)*ABS($C$4:$C$143))</f>
        <v>0.0881617756904976</v>
      </c>
      <c r="N119" s="16" t="n">
        <f aca="false">E119/SUMIFS($E$4:$E$143,$A$4:$A$143,A119)</f>
        <v>0.0346534653465347</v>
      </c>
      <c r="O119" s="4" t="str">
        <f aca="false">IF(AND(ABS(ROUND(M119,2)-D119)&lt;0.0051,ABS(ROUND(N119,2)-F119)&lt;0.0051),"OK","REVIEW")</f>
        <v>OK</v>
      </c>
    </row>
    <row r="120" customFormat="false" ht="15" hidden="false" customHeight="false" outlineLevel="0" collapsed="false">
      <c r="A120" s="4" t="s">
        <v>270</v>
      </c>
      <c r="B120" s="4" t="s">
        <v>750</v>
      </c>
      <c r="C120" s="15" t="n">
        <v>-613.18</v>
      </c>
      <c r="D120" s="32" t="n">
        <v>0</v>
      </c>
      <c r="E120" s="18" t="n">
        <v>3</v>
      </c>
      <c r="F120" s="32" t="n">
        <v>0.01</v>
      </c>
      <c r="G120" s="24" t="n">
        <v>0</v>
      </c>
      <c r="H120" s="15" t="n">
        <v>0</v>
      </c>
      <c r="I120" s="15" t="n">
        <v>0</v>
      </c>
      <c r="J120" s="15" t="n">
        <v>0</v>
      </c>
      <c r="K120" s="15" t="n">
        <f aca="false">ROUND(J120-I120,2)</f>
        <v>0</v>
      </c>
      <c r="L120" s="4" t="str">
        <f aca="false">IF(ABS(K120)&lt;0.005,"OK",IF(ABS(K120)&lt;=0.05,"Rounding","REVIEW"))</f>
        <v>OK</v>
      </c>
      <c r="M120" s="16" t="n">
        <f aca="false">ABS(C120)/SUMPRODUCT(($A$4:$A$143=A120)*ABS($C$4:$C$143))</f>
        <v>0.00391970179122535</v>
      </c>
      <c r="N120" s="16" t="n">
        <f aca="false">E120/SUMIFS($E$4:$E$143,$A$4:$A$143,A120)</f>
        <v>0.0148514851485149</v>
      </c>
      <c r="O120" s="4" t="str">
        <f aca="false">IF(AND(ABS(ROUND(M120,2)-D120)&lt;0.0051,ABS(ROUND(N120,2)-F120)&lt;0.0051),"OK","REVIEW")</f>
        <v>OK</v>
      </c>
    </row>
    <row r="121" customFormat="false" ht="15" hidden="false" customHeight="false" outlineLevel="0" collapsed="false">
      <c r="A121" s="4" t="s">
        <v>270</v>
      </c>
      <c r="B121" s="4" t="s">
        <v>701</v>
      </c>
      <c r="C121" s="15" t="n">
        <v>3459.91</v>
      </c>
      <c r="D121" s="32" t="n">
        <v>0.02</v>
      </c>
      <c r="E121" s="18" t="n">
        <v>6</v>
      </c>
      <c r="F121" s="32" t="n">
        <v>0.03</v>
      </c>
      <c r="G121" s="24" t="n">
        <v>0.0175</v>
      </c>
      <c r="H121" s="15" t="n">
        <v>0.2</v>
      </c>
      <c r="I121" s="15" t="n">
        <v>-61.75</v>
      </c>
      <c r="J121" s="15" t="n">
        <f aca="false">-ROUND(C121*G121+E121*H121,2)</f>
        <v>-61.75</v>
      </c>
      <c r="K121" s="15" t="n">
        <f aca="false">ROUND(J121-I121,2)</f>
        <v>0</v>
      </c>
      <c r="L121" s="4" t="str">
        <f aca="false">IF(ABS(K121)&lt;0.005,"OK",IF(ABS(K121)&lt;=0.05,"Rounding","REVIEW"))</f>
        <v>OK</v>
      </c>
      <c r="M121" s="16" t="n">
        <f aca="false">ABS(C121)/SUMPRODUCT(($A$4:$A$143=A121)*ABS($C$4:$C$143))</f>
        <v>0.0221171848796088</v>
      </c>
      <c r="N121" s="16" t="n">
        <f aca="false">E121/SUMIFS($E$4:$E$143,$A$4:$A$143,A121)</f>
        <v>0.0297029702970297</v>
      </c>
      <c r="O121" s="4" t="str">
        <f aca="false">IF(AND(ABS(ROUND(M121,2)-D121)&lt;0.0051,ABS(ROUND(N121,2)-F121)&lt;0.0051),"OK","REVIEW")</f>
        <v>OK</v>
      </c>
    </row>
    <row r="122" customFormat="false" ht="15" hidden="false" customHeight="false" outlineLevel="0" collapsed="false">
      <c r="A122" s="4" t="s">
        <v>270</v>
      </c>
      <c r="B122" s="4" t="s">
        <v>751</v>
      </c>
      <c r="C122" s="15" t="n">
        <v>-784.99</v>
      </c>
      <c r="D122" s="32" t="n">
        <v>0.01</v>
      </c>
      <c r="E122" s="18" t="n">
        <v>3</v>
      </c>
      <c r="F122" s="32" t="n">
        <v>0.01</v>
      </c>
      <c r="G122" s="24" t="n">
        <v>0</v>
      </c>
      <c r="H122" s="15" t="n">
        <v>0</v>
      </c>
      <c r="I122" s="15" t="n">
        <v>0</v>
      </c>
      <c r="J122" s="15" t="n">
        <v>0</v>
      </c>
      <c r="K122" s="15" t="n">
        <f aca="false">ROUND(J122-I122,2)</f>
        <v>0</v>
      </c>
      <c r="L122" s="4" t="str">
        <f aca="false">IF(ABS(K122)&lt;0.005,"OK",IF(ABS(K122)&lt;=0.05,"Rounding","REVIEW"))</f>
        <v>OK</v>
      </c>
      <c r="M122" s="16" t="n">
        <f aca="false">ABS(C122)/SUMPRODUCT(($A$4:$A$143=A122)*ABS($C$4:$C$143))</f>
        <v>0.00501798282575098</v>
      </c>
      <c r="N122" s="16" t="n">
        <f aca="false">E122/SUMIFS($E$4:$E$143,$A$4:$A$143,A122)</f>
        <v>0.0148514851485149</v>
      </c>
      <c r="O122" s="4" t="str">
        <f aca="false">IF(AND(ABS(ROUND(M122,2)-D122)&lt;0.0051,ABS(ROUND(N122,2)-F122)&lt;0.0051),"OK","REVIEW")</f>
        <v>OK</v>
      </c>
    </row>
    <row r="123" customFormat="false" ht="15" hidden="false" customHeight="false" outlineLevel="0" collapsed="false">
      <c r="A123" s="4" t="s">
        <v>270</v>
      </c>
      <c r="B123" s="4" t="s">
        <v>752</v>
      </c>
      <c r="C123" s="15" t="n">
        <v>-49.72</v>
      </c>
      <c r="D123" s="32" t="n">
        <v>0</v>
      </c>
      <c r="E123" s="18" t="n">
        <v>2</v>
      </c>
      <c r="F123" s="32" t="n">
        <v>0.01</v>
      </c>
      <c r="G123" s="24" t="n">
        <v>0</v>
      </c>
      <c r="H123" s="15" t="n">
        <v>0</v>
      </c>
      <c r="I123" s="15" t="n">
        <v>0</v>
      </c>
      <c r="J123" s="15" t="n">
        <v>0</v>
      </c>
      <c r="K123" s="15" t="n">
        <f aca="false">ROUND(J123-I123,2)</f>
        <v>0</v>
      </c>
      <c r="L123" s="4" t="str">
        <f aca="false">IF(ABS(K123)&lt;0.005,"OK",IF(ABS(K123)&lt;=0.05,"Rounding","REVIEW"))</f>
        <v>OK</v>
      </c>
      <c r="M123" s="16" t="n">
        <f aca="false">ABS(C123)/SUMPRODUCT(($A$4:$A$143=A123)*ABS($C$4:$C$143))</f>
        <v>0.000317830935548655</v>
      </c>
      <c r="N123" s="16" t="n">
        <f aca="false">E123/SUMIFS($E$4:$E$143,$A$4:$A$143,A123)</f>
        <v>0.0099009900990099</v>
      </c>
      <c r="O123" s="4" t="str">
        <f aca="false">IF(AND(ABS(ROUND(M123,2)-D123)&lt;0.0051,ABS(ROUND(N123,2)-F123)&lt;0.0051),"OK","REVIEW")</f>
        <v>OK</v>
      </c>
    </row>
    <row r="124" customFormat="false" ht="15" hidden="false" customHeight="false" outlineLevel="0" collapsed="false">
      <c r="A124" s="4" t="s">
        <v>270</v>
      </c>
      <c r="B124" s="4" t="s">
        <v>704</v>
      </c>
      <c r="C124" s="15" t="n">
        <v>9984.71</v>
      </c>
      <c r="D124" s="32" t="n">
        <v>0.06</v>
      </c>
      <c r="E124" s="18" t="n">
        <v>39</v>
      </c>
      <c r="F124" s="32" t="n">
        <v>0.19</v>
      </c>
      <c r="G124" s="24" t="n">
        <v>0.0225</v>
      </c>
      <c r="H124" s="15" t="n">
        <v>0.1</v>
      </c>
      <c r="I124" s="15" t="n">
        <v>-228.55</v>
      </c>
      <c r="J124" s="15" t="n">
        <f aca="false">-ROUND(C124*G124+E124*H124,2)</f>
        <v>-228.56</v>
      </c>
      <c r="K124" s="15" t="n">
        <f aca="false">ROUND(J124-I124,2)</f>
        <v>-0.01</v>
      </c>
      <c r="L124" s="4" t="str">
        <f aca="false">IF(ABS(K124)&lt;0.005,"OK",IF(ABS(K124)&lt;=0.05,"Rounding","REVIEW"))</f>
        <v>Rounding</v>
      </c>
      <c r="M124" s="16" t="n">
        <f aca="false">ABS(C124)/SUMPRODUCT(($A$4:$A$143=A124)*ABS($C$4:$C$143))</f>
        <v>0.0638264223749399</v>
      </c>
      <c r="N124" s="16" t="n">
        <f aca="false">E124/SUMIFS($E$4:$E$143,$A$4:$A$143,A124)</f>
        <v>0.193069306930693</v>
      </c>
      <c r="O124" s="4" t="str">
        <f aca="false">IF(AND(ABS(ROUND(M124,2)-D124)&lt;0.0051,ABS(ROUND(N124,2)-F124)&lt;0.0051),"OK","REVIEW")</f>
        <v>OK</v>
      </c>
    </row>
    <row r="125" customFormat="false" ht="15" hidden="false" customHeight="false" outlineLevel="0" collapsed="false">
      <c r="A125" s="4" t="s">
        <v>270</v>
      </c>
      <c r="B125" s="4" t="s">
        <v>702</v>
      </c>
      <c r="C125" s="15" t="n">
        <v>2157.65</v>
      </c>
      <c r="D125" s="32" t="n">
        <v>0.01</v>
      </c>
      <c r="E125" s="18" t="n">
        <v>8</v>
      </c>
      <c r="F125" s="32" t="n">
        <v>0.04</v>
      </c>
      <c r="G125" s="24" t="n">
        <v>0.0245</v>
      </c>
      <c r="H125" s="15" t="n">
        <v>0.15</v>
      </c>
      <c r="I125" s="15" t="n">
        <v>-54.06</v>
      </c>
      <c r="J125" s="15" t="n">
        <f aca="false">-ROUND(C125*G125+E125*H125,2)</f>
        <v>-54.06</v>
      </c>
      <c r="K125" s="15" t="n">
        <f aca="false">ROUND(J125-I125,2)</f>
        <v>0</v>
      </c>
      <c r="L125" s="4" t="str">
        <f aca="false">IF(ABS(K125)&lt;0.005,"OK",IF(ABS(K125)&lt;=0.05,"Rounding","REVIEW"))</f>
        <v>OK</v>
      </c>
      <c r="M125" s="16" t="n">
        <f aca="false">ABS(C125)/SUMPRODUCT(($A$4:$A$143=A125)*ABS($C$4:$C$143))</f>
        <v>0.0137925969043957</v>
      </c>
      <c r="N125" s="16" t="n">
        <f aca="false">E125/SUMIFS($E$4:$E$143,$A$4:$A$143,A125)</f>
        <v>0.0396039603960396</v>
      </c>
      <c r="O125" s="4" t="str">
        <f aca="false">IF(AND(ABS(ROUND(M125,2)-D125)&lt;0.0051,ABS(ROUND(N125,2)-F125)&lt;0.0051),"OK","REVIEW")</f>
        <v>OK</v>
      </c>
    </row>
    <row r="126" customFormat="false" ht="15" hidden="false" customHeight="false" outlineLevel="0" collapsed="false">
      <c r="A126" s="4" t="s">
        <v>270</v>
      </c>
      <c r="B126" s="4" t="s">
        <v>703</v>
      </c>
      <c r="C126" s="15" t="n">
        <v>16342.61</v>
      </c>
      <c r="D126" s="32" t="n">
        <v>0.1</v>
      </c>
      <c r="E126" s="18" t="n">
        <v>34</v>
      </c>
      <c r="F126" s="32" t="n">
        <v>0.17</v>
      </c>
      <c r="G126" s="24" t="n">
        <v>0.0172</v>
      </c>
      <c r="H126" s="15" t="n">
        <v>0.1</v>
      </c>
      <c r="I126" s="15" t="n">
        <v>-284.49</v>
      </c>
      <c r="J126" s="15" t="n">
        <f aca="false">-ROUND(C126*G126+E126*H126,2)</f>
        <v>-284.49</v>
      </c>
      <c r="K126" s="15" t="n">
        <f aca="false">ROUND(J126-I126,2)</f>
        <v>0</v>
      </c>
      <c r="L126" s="4" t="str">
        <f aca="false">IF(ABS(K126)&lt;0.005,"OK",IF(ABS(K126)&lt;=0.05,"Rounding","REVIEW"))</f>
        <v>OK</v>
      </c>
      <c r="M126" s="16" t="n">
        <f aca="false">ABS(C126)/SUMPRODUCT(($A$4:$A$143=A126)*ABS($C$4:$C$143))</f>
        <v>0.104468765599493</v>
      </c>
      <c r="N126" s="16" t="n">
        <f aca="false">E126/SUMIFS($E$4:$E$143,$A$4:$A$143,A126)</f>
        <v>0.168316831683168</v>
      </c>
      <c r="O126" s="4" t="str">
        <f aca="false">IF(AND(ABS(ROUND(M126,2)-D126)&lt;0.0051,ABS(ROUND(N126,2)-F126)&lt;0.0051),"OK","REVIEW")</f>
        <v>OK</v>
      </c>
    </row>
    <row r="127" customFormat="false" ht="15" hidden="false" customHeight="false" outlineLevel="0" collapsed="false">
      <c r="A127" s="4" t="s">
        <v>270</v>
      </c>
      <c r="B127" s="4" t="s">
        <v>705</v>
      </c>
      <c r="C127" s="15" t="n">
        <v>3981.04</v>
      </c>
      <c r="D127" s="32" t="n">
        <v>0.03</v>
      </c>
      <c r="E127" s="18" t="n">
        <v>22</v>
      </c>
      <c r="F127" s="32" t="n">
        <v>0.11</v>
      </c>
      <c r="G127" s="24" t="n">
        <v>0.011</v>
      </c>
      <c r="H127" s="15" t="n">
        <v>0.16</v>
      </c>
      <c r="I127" s="15" t="n">
        <v>-47.3</v>
      </c>
      <c r="J127" s="15" t="n">
        <f aca="false">-ROUND(C127*G127+E127*H127,2)</f>
        <v>-47.31</v>
      </c>
      <c r="K127" s="15" t="n">
        <f aca="false">ROUND(J127-I127,2)</f>
        <v>-0.01</v>
      </c>
      <c r="L127" s="4" t="str">
        <f aca="false">IF(ABS(K127)&lt;0.005,"OK",IF(ABS(K127)&lt;=0.05,"Rounding","REVIEW"))</f>
        <v>Rounding</v>
      </c>
      <c r="M127" s="16" t="n">
        <f aca="false">ABS(C127)/SUMPRODUCT(($A$4:$A$143=A127)*ABS($C$4:$C$143))</f>
        <v>0.0254484647557646</v>
      </c>
      <c r="N127" s="16" t="n">
        <f aca="false">E127/SUMIFS($E$4:$E$143,$A$4:$A$143,A127)</f>
        <v>0.108910891089109</v>
      </c>
      <c r="O127" s="4" t="str">
        <f aca="false">IF(AND(ABS(ROUND(M127,2)-D127)&lt;0.0051,ABS(ROUND(N127,2)-F127)&lt;0.0051),"OK","REVIEW")</f>
        <v>OK</v>
      </c>
    </row>
    <row r="128" customFormat="false" ht="15" hidden="false" customHeight="false" outlineLevel="0" collapsed="false">
      <c r="A128" s="4" t="s">
        <v>270</v>
      </c>
      <c r="B128" s="4" t="s">
        <v>706</v>
      </c>
      <c r="C128" s="15" t="n">
        <v>38607.67</v>
      </c>
      <c r="D128" s="32" t="n">
        <v>0.25</v>
      </c>
      <c r="E128" s="18" t="n">
        <v>10</v>
      </c>
      <c r="F128" s="32" t="n">
        <v>0.05</v>
      </c>
      <c r="G128" s="24" t="n">
        <v>0.0255</v>
      </c>
      <c r="H128" s="15" t="n">
        <v>0.1</v>
      </c>
      <c r="I128" s="15" t="n">
        <v>-985.49</v>
      </c>
      <c r="J128" s="15" t="n">
        <f aca="false">-ROUND(C128*G128+E128*H128,2)</f>
        <v>-985.5</v>
      </c>
      <c r="K128" s="15" t="n">
        <f aca="false">ROUND(J128-I128,2)</f>
        <v>-0.01</v>
      </c>
      <c r="L128" s="4" t="str">
        <f aca="false">IF(ABS(K128)&lt;0.005,"OK",IF(ABS(K128)&lt;=0.05,"Rounding","REVIEW"))</f>
        <v>Rounding</v>
      </c>
      <c r="M128" s="16" t="n">
        <f aca="false">ABS(C128)/SUMPRODUCT(($A$4:$A$143=A128)*ABS($C$4:$C$143))</f>
        <v>0.246796296770992</v>
      </c>
      <c r="N128" s="16" t="n">
        <f aca="false">E128/SUMIFS($E$4:$E$143,$A$4:$A$143,A128)</f>
        <v>0.0495049504950495</v>
      </c>
      <c r="O128" s="4" t="str">
        <f aca="false">IF(AND(ABS(ROUND(M128,2)-D128)&lt;0.0051,ABS(ROUND(N128,2)-F128)&lt;0.0051),"OK","REVIEW")</f>
        <v>OK</v>
      </c>
    </row>
    <row r="129" customFormat="false" ht="15" hidden="false" customHeight="false" outlineLevel="0" collapsed="false">
      <c r="A129" s="4" t="s">
        <v>270</v>
      </c>
      <c r="B129" s="4" t="s">
        <v>700</v>
      </c>
      <c r="C129" s="15" t="n">
        <v>52008.19</v>
      </c>
      <c r="D129" s="32" t="n">
        <v>0.33</v>
      </c>
      <c r="E129" s="18" t="n">
        <v>58</v>
      </c>
      <c r="F129" s="32" t="n">
        <v>0.29</v>
      </c>
      <c r="G129" s="24" t="n">
        <v>0.0174</v>
      </c>
      <c r="H129" s="15" t="n">
        <v>0.1</v>
      </c>
      <c r="I129" s="15" t="n">
        <v>-910.75</v>
      </c>
      <c r="J129" s="15" t="n">
        <f aca="false">-ROUND(C129*G129+E129*H129,2)</f>
        <v>-910.74</v>
      </c>
      <c r="K129" s="15" t="n">
        <f aca="false">ROUND(J129-I129,2)</f>
        <v>0.01</v>
      </c>
      <c r="L129" s="4" t="str">
        <f aca="false">IF(ABS(K129)&lt;0.005,"OK",IF(ABS(K129)&lt;=0.05,"Rounding","REVIEW"))</f>
        <v>Rounding</v>
      </c>
      <c r="M129" s="16" t="n">
        <f aca="false">ABS(C129)/SUMPRODUCT(($A$4:$A$143=A129)*ABS($C$4:$C$143))</f>
        <v>0.332457998469272</v>
      </c>
      <c r="N129" s="16" t="n">
        <f aca="false">E129/SUMIFS($E$4:$E$143,$A$4:$A$143,A129)</f>
        <v>0.287128712871287</v>
      </c>
      <c r="O129" s="4" t="str">
        <f aca="false">IF(AND(ABS(ROUND(M129,2)-D129)&lt;0.0051,ABS(ROUND(N129,2)-F129)&lt;0.0051),"OK","REVIEW")</f>
        <v>OK</v>
      </c>
    </row>
    <row r="130" customFormat="false" ht="15" hidden="false" customHeight="false" outlineLevel="0" collapsed="false">
      <c r="A130" s="4" t="s">
        <v>270</v>
      </c>
      <c r="B130" s="4" t="s">
        <v>707</v>
      </c>
      <c r="C130" s="15" t="n">
        <v>13743.37</v>
      </c>
      <c r="D130" s="32" t="n">
        <v>0.09</v>
      </c>
      <c r="E130" s="18" t="n">
        <v>8</v>
      </c>
      <c r="F130" s="32" t="n">
        <v>0.04</v>
      </c>
      <c r="G130" s="24" t="n">
        <v>0.0205</v>
      </c>
      <c r="H130" s="15" t="n">
        <v>0.1</v>
      </c>
      <c r="I130" s="15" t="n">
        <v>-282.53</v>
      </c>
      <c r="J130" s="15" t="n">
        <f aca="false">-ROUND(C130*G130+E130*H130,2)</f>
        <v>-282.54</v>
      </c>
      <c r="K130" s="15" t="n">
        <f aca="false">ROUND(J130-I130,2)</f>
        <v>-0.01</v>
      </c>
      <c r="L130" s="4" t="str">
        <f aca="false">IF(ABS(K130)&lt;0.005,"OK",IF(ABS(K130)&lt;=0.05,"Rounding","REVIEW"))</f>
        <v>Rounding</v>
      </c>
      <c r="M130" s="16" t="n">
        <f aca="false">ABS(C130)/SUMPRODUCT(($A$4:$A$143=A130)*ABS($C$4:$C$143))</f>
        <v>0.0878533416068246</v>
      </c>
      <c r="N130" s="16" t="n">
        <f aca="false">E130/SUMIFS($E$4:$E$143,$A$4:$A$143,A130)</f>
        <v>0.0396039603960396</v>
      </c>
      <c r="O130" s="4" t="str">
        <f aca="false">IF(AND(ABS(ROUND(M130,2)-D130)&lt;0.0051,ABS(ROUND(N130,2)-F130)&lt;0.0051),"OK","REVIEW")</f>
        <v>OK</v>
      </c>
    </row>
    <row r="131" customFormat="false" ht="15" hidden="false" customHeight="false" outlineLevel="0" collapsed="false">
      <c r="A131" s="4" t="s">
        <v>271</v>
      </c>
      <c r="B131" s="4" t="s">
        <v>753</v>
      </c>
      <c r="C131" s="15" t="n">
        <v>1678631.31</v>
      </c>
      <c r="D131" s="32" t="n">
        <v>1</v>
      </c>
      <c r="E131" s="18" t="n">
        <v>1635</v>
      </c>
      <c r="F131" s="32" t="n">
        <v>1</v>
      </c>
      <c r="G131" s="24" t="n">
        <v>0</v>
      </c>
      <c r="H131" s="15" t="n">
        <v>0</v>
      </c>
      <c r="I131" s="15" t="n">
        <v>0</v>
      </c>
      <c r="J131" s="15" t="n">
        <v>0</v>
      </c>
      <c r="K131" s="15" t="n">
        <f aca="false">ROUND(J131-I131,2)</f>
        <v>0</v>
      </c>
      <c r="L131" s="4" t="str">
        <f aca="false">IF(ABS(K131)&lt;0.005,"OK",IF(ABS(K131)&lt;=0.05,"Rounding","REVIEW"))</f>
        <v>OK</v>
      </c>
      <c r="M131" s="16" t="n">
        <f aca="false">ABS(C131)/SUMPRODUCT(($A$4:$A$143=A131)*ABS($C$4:$C$143))</f>
        <v>1</v>
      </c>
      <c r="N131" s="16" t="n">
        <f aca="false">E131/SUMIFS($E$4:$E$143,$A$4:$A$143,A131)</f>
        <v>1</v>
      </c>
      <c r="O131" s="4" t="str">
        <f aca="false">IF(AND(ABS(ROUND(M131,2)-D131)&lt;0.0051,ABS(ROUND(N131,2)-F131)&lt;0.0051),"OK","REVIEW")</f>
        <v>OK</v>
      </c>
    </row>
    <row r="132" customFormat="false" ht="15" hidden="false" customHeight="false" outlineLevel="0" collapsed="false">
      <c r="A132" s="4" t="s">
        <v>272</v>
      </c>
      <c r="B132" s="4" t="s">
        <v>476</v>
      </c>
      <c r="C132" s="15" t="n">
        <v>7192.07</v>
      </c>
      <c r="D132" s="32" t="n">
        <v>0.02</v>
      </c>
      <c r="E132" s="18" t="n">
        <v>11</v>
      </c>
      <c r="F132" s="32" t="n">
        <v>0.02</v>
      </c>
      <c r="G132" s="24" t="n">
        <v>0</v>
      </c>
      <c r="H132" s="15" t="n">
        <v>0</v>
      </c>
      <c r="I132" s="15" t="n">
        <v>0</v>
      </c>
      <c r="J132" s="15" t="n">
        <v>0</v>
      </c>
      <c r="K132" s="15" t="n">
        <f aca="false">ROUND(J132-I132,2)</f>
        <v>0</v>
      </c>
      <c r="L132" s="4" t="str">
        <f aca="false">IF(ABS(K132)&lt;0.005,"OK",IF(ABS(K132)&lt;=0.05,"Rounding","REVIEW"))</f>
        <v>OK</v>
      </c>
      <c r="M132" s="16" t="n">
        <f aca="false">ABS(C132)/SUMPRODUCT(($A$4:$A$143=A132)*ABS($C$4:$C$143))</f>
        <v>0.0183097341944833</v>
      </c>
      <c r="N132" s="16" t="n">
        <f aca="false">E132/SUMIFS($E$4:$E$143,$A$4:$A$143,A132)</f>
        <v>0.0168453292496172</v>
      </c>
      <c r="O132" s="4" t="str">
        <f aca="false">IF(AND(ABS(ROUND(M132,2)-D132)&lt;0.0051,ABS(ROUND(N132,2)-F132)&lt;0.0051),"OK","REVIEW")</f>
        <v>OK</v>
      </c>
    </row>
    <row r="133" customFormat="false" ht="15" hidden="false" customHeight="false" outlineLevel="0" collapsed="false">
      <c r="A133" s="4" t="s">
        <v>272</v>
      </c>
      <c r="B133" s="4" t="s">
        <v>480</v>
      </c>
      <c r="C133" s="15" t="n">
        <v>1515.19</v>
      </c>
      <c r="D133" s="32" t="n">
        <v>0</v>
      </c>
      <c r="E133" s="18" t="n">
        <v>4</v>
      </c>
      <c r="F133" s="32" t="n">
        <v>0.01</v>
      </c>
      <c r="G133" s="24" t="n">
        <v>0</v>
      </c>
      <c r="H133" s="15" t="n">
        <v>0</v>
      </c>
      <c r="I133" s="15" t="n">
        <v>0</v>
      </c>
      <c r="J133" s="15" t="n">
        <v>0</v>
      </c>
      <c r="K133" s="15" t="n">
        <f aca="false">ROUND(J133-I133,2)</f>
        <v>0</v>
      </c>
      <c r="L133" s="4" t="str">
        <f aca="false">IF(ABS(K133)&lt;0.005,"OK",IF(ABS(K133)&lt;=0.05,"Rounding","REVIEW"))</f>
        <v>OK</v>
      </c>
      <c r="M133" s="16" t="n">
        <f aca="false">ABS(C133)/SUMPRODUCT(($A$4:$A$143=A133)*ABS($C$4:$C$143))</f>
        <v>0.00385740491320845</v>
      </c>
      <c r="N133" s="16" t="n">
        <f aca="false">E133/SUMIFS($E$4:$E$143,$A$4:$A$143,A133)</f>
        <v>0.00612557427258806</v>
      </c>
      <c r="O133" s="4" t="str">
        <f aca="false">IF(AND(ABS(ROUND(M133,2)-D133)&lt;0.0051,ABS(ROUND(N133,2)-F133)&lt;0.0051),"OK","REVIEW")</f>
        <v>OK</v>
      </c>
    </row>
    <row r="134" customFormat="false" ht="15" hidden="false" customHeight="false" outlineLevel="0" collapsed="false">
      <c r="A134" s="4" t="s">
        <v>272</v>
      </c>
      <c r="B134" s="4" t="s">
        <v>472</v>
      </c>
      <c r="C134" s="15" t="n">
        <v>2933.46</v>
      </c>
      <c r="D134" s="32" t="n">
        <v>0.01</v>
      </c>
      <c r="E134" s="18" t="n">
        <v>9</v>
      </c>
      <c r="F134" s="32" t="n">
        <v>0.01</v>
      </c>
      <c r="G134" s="24" t="n">
        <v>0</v>
      </c>
      <c r="H134" s="15" t="n">
        <v>0</v>
      </c>
      <c r="I134" s="15" t="n">
        <v>0</v>
      </c>
      <c r="J134" s="15" t="n">
        <v>0</v>
      </c>
      <c r="K134" s="15" t="n">
        <f aca="false">ROUND(J134-I134,2)</f>
        <v>0</v>
      </c>
      <c r="L134" s="4" t="str">
        <f aca="false">IF(ABS(K134)&lt;0.005,"OK",IF(ABS(K134)&lt;=0.05,"Rounding","REVIEW"))</f>
        <v>OK</v>
      </c>
      <c r="M134" s="16" t="n">
        <f aca="false">ABS(C134)/SUMPRODUCT(($A$4:$A$143=A134)*ABS($C$4:$C$143))</f>
        <v>0.00746806870207728</v>
      </c>
      <c r="N134" s="16" t="n">
        <f aca="false">E134/SUMIFS($E$4:$E$143,$A$4:$A$143,A134)</f>
        <v>0.0137825421133231</v>
      </c>
      <c r="O134" s="4" t="str">
        <f aca="false">IF(AND(ABS(ROUND(M134,2)-D134)&lt;0.0051,ABS(ROUND(N134,2)-F134)&lt;0.0051),"OK","REVIEW")</f>
        <v>OK</v>
      </c>
    </row>
    <row r="135" customFormat="false" ht="15" hidden="false" customHeight="false" outlineLevel="0" collapsed="false">
      <c r="A135" s="4" t="s">
        <v>272</v>
      </c>
      <c r="B135" s="4" t="s">
        <v>479</v>
      </c>
      <c r="C135" s="15" t="n">
        <v>87064.05</v>
      </c>
      <c r="D135" s="32" t="n">
        <v>0.22</v>
      </c>
      <c r="E135" s="18" t="n">
        <v>171</v>
      </c>
      <c r="F135" s="32" t="n">
        <v>0.26</v>
      </c>
      <c r="G135" s="24" t="n">
        <v>0</v>
      </c>
      <c r="H135" s="15" t="n">
        <v>0</v>
      </c>
      <c r="I135" s="15" t="n">
        <v>0</v>
      </c>
      <c r="J135" s="15" t="n">
        <v>0</v>
      </c>
      <c r="K135" s="15" t="n">
        <f aca="false">ROUND(J135-I135,2)</f>
        <v>0</v>
      </c>
      <c r="L135" s="4" t="str">
        <f aca="false">IF(ABS(K135)&lt;0.005,"OK",IF(ABS(K135)&lt;=0.05,"Rounding","REVIEW"))</f>
        <v>OK</v>
      </c>
      <c r="M135" s="16" t="n">
        <f aca="false">ABS(C135)/SUMPRODUCT(($A$4:$A$143=A135)*ABS($C$4:$C$143))</f>
        <v>0.221649624293868</v>
      </c>
      <c r="N135" s="16" t="n">
        <f aca="false">E135/SUMIFS($E$4:$E$143,$A$4:$A$143,A135)</f>
        <v>0.261868300153139</v>
      </c>
      <c r="O135" s="4" t="str">
        <f aca="false">IF(AND(ABS(ROUND(M135,2)-D135)&lt;0.0051,ABS(ROUND(N135,2)-F135)&lt;0.0051),"OK","REVIEW")</f>
        <v>OK</v>
      </c>
    </row>
    <row r="136" customFormat="false" ht="15" hidden="false" customHeight="false" outlineLevel="0" collapsed="false">
      <c r="A136" s="4" t="s">
        <v>272</v>
      </c>
      <c r="B136" s="4" t="s">
        <v>469</v>
      </c>
      <c r="C136" s="15" t="n">
        <v>5920.56</v>
      </c>
      <c r="D136" s="32" t="n">
        <v>0.02</v>
      </c>
      <c r="E136" s="18" t="n">
        <v>26</v>
      </c>
      <c r="F136" s="32" t="n">
        <v>0.04</v>
      </c>
      <c r="G136" s="24" t="n">
        <v>0</v>
      </c>
      <c r="H136" s="15" t="n">
        <v>0</v>
      </c>
      <c r="I136" s="15" t="n">
        <v>0</v>
      </c>
      <c r="J136" s="15" t="n">
        <v>0</v>
      </c>
      <c r="K136" s="15" t="n">
        <f aca="false">ROUND(J136-I136,2)</f>
        <v>0</v>
      </c>
      <c r="L136" s="4" t="str">
        <f aca="false">IF(ABS(K136)&lt;0.005,"OK",IF(ABS(K136)&lt;=0.05,"Rounding","REVIEW"))</f>
        <v>OK</v>
      </c>
      <c r="M136" s="16" t="n">
        <f aca="false">ABS(C136)/SUMPRODUCT(($A$4:$A$143=A136)*ABS($C$4:$C$143))</f>
        <v>0.0150726953272827</v>
      </c>
      <c r="N136" s="16" t="n">
        <f aca="false">E136/SUMIFS($E$4:$E$143,$A$4:$A$143,A136)</f>
        <v>0.0398162327718224</v>
      </c>
      <c r="O136" s="4" t="str">
        <f aca="false">IF(AND(ABS(ROUND(M136,2)-D136)&lt;0.0051,ABS(ROUND(N136,2)-F136)&lt;0.0051),"OK","REVIEW")</f>
        <v>OK</v>
      </c>
    </row>
    <row r="137" customFormat="false" ht="15" hidden="false" customHeight="false" outlineLevel="0" collapsed="false">
      <c r="A137" s="4" t="s">
        <v>272</v>
      </c>
      <c r="B137" s="4" t="s">
        <v>473</v>
      </c>
      <c r="C137" s="15" t="n">
        <v>2383.33</v>
      </c>
      <c r="D137" s="32" t="n">
        <v>0.01</v>
      </c>
      <c r="E137" s="18" t="n">
        <v>15</v>
      </c>
      <c r="F137" s="32" t="n">
        <v>0.02</v>
      </c>
      <c r="G137" s="24" t="n">
        <v>0</v>
      </c>
      <c r="H137" s="15" t="n">
        <v>0</v>
      </c>
      <c r="I137" s="15" t="n">
        <v>0</v>
      </c>
      <c r="J137" s="15" t="n">
        <v>0</v>
      </c>
      <c r="K137" s="15" t="n">
        <f aca="false">ROUND(J137-I137,2)</f>
        <v>0</v>
      </c>
      <c r="L137" s="4" t="str">
        <f aca="false">IF(ABS(K137)&lt;0.005,"OK",IF(ABS(K137)&lt;=0.05,"Rounding","REVIEW"))</f>
        <v>OK</v>
      </c>
      <c r="M137" s="16" t="n">
        <f aca="false">ABS(C137)/SUMPRODUCT(($A$4:$A$143=A137)*ABS($C$4:$C$143))</f>
        <v>0.00606753532678879</v>
      </c>
      <c r="N137" s="16" t="n">
        <f aca="false">E137/SUMIFS($E$4:$E$143,$A$4:$A$143,A137)</f>
        <v>0.0229709035222052</v>
      </c>
      <c r="O137" s="4" t="str">
        <f aca="false">IF(AND(ABS(ROUND(M137,2)-D137)&lt;0.0051,ABS(ROUND(N137,2)-F137)&lt;0.0051),"OK","REVIEW")</f>
        <v>OK</v>
      </c>
    </row>
    <row r="138" customFormat="false" ht="15" hidden="false" customHeight="false" outlineLevel="0" collapsed="false">
      <c r="A138" s="4" t="s">
        <v>272</v>
      </c>
      <c r="B138" s="4" t="s">
        <v>477</v>
      </c>
      <c r="C138" s="15" t="n">
        <v>45822.5</v>
      </c>
      <c r="D138" s="32" t="n">
        <v>0.12</v>
      </c>
      <c r="E138" s="18" t="n">
        <v>101</v>
      </c>
      <c r="F138" s="32" t="n">
        <v>0.15</v>
      </c>
      <c r="G138" s="24" t="n">
        <v>0</v>
      </c>
      <c r="H138" s="15" t="n">
        <v>0</v>
      </c>
      <c r="I138" s="15" t="n">
        <v>0</v>
      </c>
      <c r="J138" s="15" t="n">
        <v>0</v>
      </c>
      <c r="K138" s="15" t="n">
        <f aca="false">ROUND(J138-I138,2)</f>
        <v>0</v>
      </c>
      <c r="L138" s="4" t="str">
        <f aca="false">IF(ABS(K138)&lt;0.005,"OK",IF(ABS(K138)&lt;=0.05,"Rounding","REVIEW"))</f>
        <v>OK</v>
      </c>
      <c r="M138" s="16" t="n">
        <f aca="false">ABS(C138)/SUMPRODUCT(($A$4:$A$143=A138)*ABS($C$4:$C$143))</f>
        <v>0.116655955118166</v>
      </c>
      <c r="N138" s="16" t="n">
        <f aca="false">E138/SUMIFS($E$4:$E$143,$A$4:$A$143,A138)</f>
        <v>0.154670750382848</v>
      </c>
      <c r="O138" s="4" t="str">
        <f aca="false">IF(AND(ABS(ROUND(M138,2)-D138)&lt;0.0051,ABS(ROUND(N138,2)-F138)&lt;0.0051),"OK","REVIEW")</f>
        <v>OK</v>
      </c>
    </row>
    <row r="139" customFormat="false" ht="15" hidden="false" customHeight="false" outlineLevel="0" collapsed="false">
      <c r="A139" s="4" t="s">
        <v>272</v>
      </c>
      <c r="B139" s="4" t="s">
        <v>464</v>
      </c>
      <c r="C139" s="15" t="n">
        <v>130043.95</v>
      </c>
      <c r="D139" s="32" t="n">
        <v>0.33</v>
      </c>
      <c r="E139" s="18" t="n">
        <v>124</v>
      </c>
      <c r="F139" s="32" t="n">
        <v>0.19</v>
      </c>
      <c r="G139" s="24" t="n">
        <v>0</v>
      </c>
      <c r="H139" s="15" t="n">
        <v>0</v>
      </c>
      <c r="I139" s="15" t="n">
        <v>0</v>
      </c>
      <c r="J139" s="15" t="n">
        <v>0</v>
      </c>
      <c r="K139" s="15" t="n">
        <f aca="false">ROUND(J139-I139,2)</f>
        <v>0</v>
      </c>
      <c r="L139" s="4" t="str">
        <f aca="false">IF(ABS(K139)&lt;0.005,"OK",IF(ABS(K139)&lt;=0.05,"Rounding","REVIEW"))</f>
        <v>OK</v>
      </c>
      <c r="M139" s="16" t="n">
        <f aca="false">ABS(C139)/SUMPRODUCT(($A$4:$A$143=A139)*ABS($C$4:$C$143))</f>
        <v>0.331068824149469</v>
      </c>
      <c r="N139" s="16" t="n">
        <f aca="false">E139/SUMIFS($E$4:$E$143,$A$4:$A$143,A139)</f>
        <v>0.18989280245023</v>
      </c>
      <c r="O139" s="4" t="str">
        <f aca="false">IF(AND(ABS(ROUND(M139,2)-D139)&lt;0.0051,ABS(ROUND(N139,2)-F139)&lt;0.0051),"OK","REVIEW")</f>
        <v>OK</v>
      </c>
    </row>
    <row r="140" customFormat="false" ht="15" hidden="false" customHeight="false" outlineLevel="0" collapsed="false">
      <c r="A140" s="4" t="s">
        <v>272</v>
      </c>
      <c r="B140" s="4" t="s">
        <v>482</v>
      </c>
      <c r="C140" s="15" t="n">
        <v>10948.41</v>
      </c>
      <c r="D140" s="32" t="n">
        <v>0.03</v>
      </c>
      <c r="E140" s="18" t="n">
        <v>11</v>
      </c>
      <c r="F140" s="32" t="n">
        <v>0.02</v>
      </c>
      <c r="G140" s="24" t="n">
        <v>0</v>
      </c>
      <c r="H140" s="15" t="n">
        <v>0</v>
      </c>
      <c r="I140" s="15" t="n">
        <v>0</v>
      </c>
      <c r="J140" s="15" t="n">
        <v>0</v>
      </c>
      <c r="K140" s="15" t="n">
        <f aca="false">ROUND(J140-I140,2)</f>
        <v>0</v>
      </c>
      <c r="L140" s="4" t="str">
        <f aca="false">IF(ABS(K140)&lt;0.005,"OK",IF(ABS(K140)&lt;=0.05,"Rounding","REVIEW"))</f>
        <v>OK</v>
      </c>
      <c r="M140" s="16" t="n">
        <f aca="false">ABS(C140)/SUMPRODUCT(($A$4:$A$143=A140)*ABS($C$4:$C$143))</f>
        <v>0.0278727093802233</v>
      </c>
      <c r="N140" s="16" t="n">
        <f aca="false">E140/SUMIFS($E$4:$E$143,$A$4:$A$143,A140)</f>
        <v>0.0168453292496172</v>
      </c>
      <c r="O140" s="4" t="str">
        <f aca="false">IF(AND(ABS(ROUND(M140,2)-D140)&lt;0.0051,ABS(ROUND(N140,2)-F140)&lt;0.0051),"OK","REVIEW")</f>
        <v>OK</v>
      </c>
    </row>
    <row r="141" customFormat="false" ht="15" hidden="false" customHeight="false" outlineLevel="0" collapsed="false">
      <c r="A141" s="4" t="s">
        <v>272</v>
      </c>
      <c r="B141" s="4" t="s">
        <v>471</v>
      </c>
      <c r="C141" s="15" t="n">
        <v>34497.52</v>
      </c>
      <c r="D141" s="32" t="n">
        <v>0.09</v>
      </c>
      <c r="E141" s="18" t="n">
        <v>90</v>
      </c>
      <c r="F141" s="32" t="n">
        <v>0.14</v>
      </c>
      <c r="G141" s="24" t="n">
        <v>0</v>
      </c>
      <c r="H141" s="15" t="n">
        <v>0</v>
      </c>
      <c r="I141" s="15" t="n">
        <v>0</v>
      </c>
      <c r="J141" s="15" t="n">
        <v>0</v>
      </c>
      <c r="K141" s="15" t="n">
        <f aca="false">ROUND(J141-I141,2)</f>
        <v>0</v>
      </c>
      <c r="L141" s="4" t="str">
        <f aca="false">IF(ABS(K141)&lt;0.005,"OK",IF(ABS(K141)&lt;=0.05,"Rounding","REVIEW"))</f>
        <v>OK</v>
      </c>
      <c r="M141" s="16" t="n">
        <f aca="false">ABS(C141)/SUMPRODUCT(($A$4:$A$143=A141)*ABS($C$4:$C$143))</f>
        <v>0.0878245653294352</v>
      </c>
      <c r="N141" s="16" t="n">
        <f aca="false">E141/SUMIFS($E$4:$E$143,$A$4:$A$143,A141)</f>
        <v>0.137825421133231</v>
      </c>
      <c r="O141" s="4" t="str">
        <f aca="false">IF(AND(ABS(ROUND(M141,2)-D141)&lt;0.0051,ABS(ROUND(N141,2)-F141)&lt;0.0051),"OK","REVIEW")</f>
        <v>OK</v>
      </c>
    </row>
    <row r="142" customFormat="false" ht="15" hidden="false" customHeight="false" outlineLevel="0" collapsed="false">
      <c r="A142" s="4" t="s">
        <v>272</v>
      </c>
      <c r="B142" s="4" t="s">
        <v>481</v>
      </c>
      <c r="C142" s="15" t="n">
        <v>860.14</v>
      </c>
      <c r="D142" s="32" t="n">
        <v>0</v>
      </c>
      <c r="E142" s="18" t="n">
        <v>1</v>
      </c>
      <c r="F142" s="32" t="n">
        <v>0</v>
      </c>
      <c r="G142" s="24" t="n">
        <v>0</v>
      </c>
      <c r="H142" s="15" t="n">
        <v>0</v>
      </c>
      <c r="I142" s="15" t="n">
        <v>0</v>
      </c>
      <c r="J142" s="15" t="n">
        <v>0</v>
      </c>
      <c r="K142" s="15" t="n">
        <f aca="false">ROUND(J142-I142,2)</f>
        <v>0</v>
      </c>
      <c r="L142" s="4" t="str">
        <f aca="false">IF(ABS(K142)&lt;0.005,"OK",IF(ABS(K142)&lt;=0.05,"Rounding","REVIEW"))</f>
        <v>OK</v>
      </c>
      <c r="M142" s="16" t="n">
        <f aca="false">ABS(C142)/SUMPRODUCT(($A$4:$A$143=A142)*ABS($C$4:$C$143))</f>
        <v>0.00218976383294974</v>
      </c>
      <c r="N142" s="16" t="n">
        <f aca="false">E142/SUMIFS($E$4:$E$143,$A$4:$A$143,A142)</f>
        <v>0.00153139356814701</v>
      </c>
      <c r="O142" s="4" t="str">
        <f aca="false">IF(AND(ABS(ROUND(M142,2)-D142)&lt;0.0051,ABS(ROUND(N142,2)-F142)&lt;0.0051),"OK","REVIEW")</f>
        <v>OK</v>
      </c>
    </row>
    <row r="143" customFormat="false" ht="15" hidden="false" customHeight="false" outlineLevel="0" collapsed="false">
      <c r="A143" s="4" t="s">
        <v>272</v>
      </c>
      <c r="B143" s="4" t="s">
        <v>463</v>
      </c>
      <c r="C143" s="15" t="n">
        <v>63619.17</v>
      </c>
      <c r="D143" s="32" t="n">
        <v>0.16</v>
      </c>
      <c r="E143" s="18" t="n">
        <v>90</v>
      </c>
      <c r="F143" s="32" t="n">
        <v>0.14</v>
      </c>
      <c r="G143" s="24" t="n">
        <v>0</v>
      </c>
      <c r="H143" s="15" t="n">
        <v>0</v>
      </c>
      <c r="I143" s="15" t="n">
        <v>0</v>
      </c>
      <c r="J143" s="15" t="n">
        <v>0</v>
      </c>
      <c r="K143" s="15" t="n">
        <f aca="false">ROUND(J143-I143,2)</f>
        <v>0</v>
      </c>
      <c r="L143" s="4" t="str">
        <f aca="false">IF(ABS(K143)&lt;0.005,"OK",IF(ABS(K143)&lt;=0.05,"Rounding","REVIEW"))</f>
        <v>OK</v>
      </c>
      <c r="M143" s="16" t="n">
        <f aca="false">ABS(C143)/SUMPRODUCT(($A$4:$A$143=A143)*ABS($C$4:$C$143))</f>
        <v>0.161963119432047</v>
      </c>
      <c r="N143" s="16" t="n">
        <f aca="false">E143/SUMIFS($E$4:$E$143,$A$4:$A$143,A143)</f>
        <v>0.137825421133231</v>
      </c>
      <c r="O143" s="4" t="str">
        <f aca="false">IF(AND(ABS(ROUND(M143,2)-D143)&lt;0.0051,ABS(ROUND(N143,2)-F143)&lt;0.0051),"OK","REVIEW")</f>
        <v>OK</v>
      </c>
    </row>
    <row r="146" customFormat="false" ht="30" hidden="false" customHeight="true" outlineLevel="0" collapsed="false">
      <c r="A146" s="28" t="s">
        <v>347</v>
      </c>
      <c r="B146" s="28" t="s">
        <v>754</v>
      </c>
      <c r="C146" s="28" t="s">
        <v>755</v>
      </c>
      <c r="D146" s="28" t="s">
        <v>756</v>
      </c>
      <c r="E146" s="28" t="s">
        <v>757</v>
      </c>
      <c r="F146" s="28" t="s">
        <v>758</v>
      </c>
      <c r="G146" s="28" t="s">
        <v>759</v>
      </c>
      <c r="H146" s="28" t="s">
        <v>760</v>
      </c>
      <c r="I146" s="28" t="s">
        <v>761</v>
      </c>
      <c r="J146" s="28" t="s">
        <v>762</v>
      </c>
    </row>
    <row r="147" customFormat="false" ht="15" hidden="false" customHeight="false" outlineLevel="0" collapsed="false">
      <c r="A147" s="4" t="s">
        <v>268</v>
      </c>
      <c r="B147" s="15" t="n">
        <v>2580893.99</v>
      </c>
      <c r="C147" s="18" t="n">
        <v>3283</v>
      </c>
      <c r="D147" s="15" t="n">
        <v>-57499.26</v>
      </c>
      <c r="E147" s="15" t="n">
        <f aca="false">SUMIFS($C$4:$C$143,$A$4:$A$143,$A147)</f>
        <v>2580893.99</v>
      </c>
      <c r="F147" s="18" t="n">
        <f aca="false">SUMIFS($E$4:$E$143,$A$4:$A$143,$A147)</f>
        <v>3283</v>
      </c>
      <c r="G147" s="15" t="n">
        <f aca="false">SUMIFS($I$4:$I$143,$A$4:$A$143,$A147)</f>
        <v>-57499.26</v>
      </c>
      <c r="H147" s="15" t="n">
        <f aca="false">ROUND(E147-B147,2)</f>
        <v>0</v>
      </c>
      <c r="I147" s="18" t="n">
        <f aca="false">F147-C147</f>
        <v>0</v>
      </c>
      <c r="J147" s="15" t="n">
        <f aca="false">ROUND(G147-D147,2)</f>
        <v>0</v>
      </c>
    </row>
    <row r="148" customFormat="false" ht="15" hidden="false" customHeight="false" outlineLevel="0" collapsed="false">
      <c r="A148" s="4" t="s">
        <v>269</v>
      </c>
      <c r="B148" s="15" t="n">
        <v>4176165.36</v>
      </c>
      <c r="C148" s="18" t="n">
        <v>5340</v>
      </c>
      <c r="D148" s="15" t="n">
        <v>-71973.26</v>
      </c>
      <c r="E148" s="15" t="n">
        <f aca="false">SUMIFS($C$4:$C$143,$A$4:$A$143,$A148)</f>
        <v>4176165.36</v>
      </c>
      <c r="F148" s="18" t="n">
        <f aca="false">SUMIFS($E$4:$E$143,$A$4:$A$143,$A148)</f>
        <v>5340</v>
      </c>
      <c r="G148" s="15" t="n">
        <f aca="false">SUMIFS($I$4:$I$143,$A$4:$A$143,$A148)</f>
        <v>-71973.26</v>
      </c>
      <c r="H148" s="15" t="n">
        <f aca="false">ROUND(E148-B148,2)</f>
        <v>0</v>
      </c>
      <c r="I148" s="18" t="n">
        <f aca="false">F148-C148</f>
        <v>0</v>
      </c>
      <c r="J148" s="15" t="n">
        <f aca="false">ROUND(G148-D148,2)</f>
        <v>0</v>
      </c>
    </row>
    <row r="149" customFormat="false" ht="15" hidden="false" customHeight="false" outlineLevel="0" collapsed="false">
      <c r="A149" s="4" t="s">
        <v>270</v>
      </c>
      <c r="B149" s="15" t="n">
        <v>151718.17</v>
      </c>
      <c r="C149" s="18" t="n">
        <v>202</v>
      </c>
      <c r="D149" s="15" t="n">
        <v>-3135.6</v>
      </c>
      <c r="E149" s="15" t="n">
        <f aca="false">SUMIFS($C$4:$C$143,$A$4:$A$143,$A149)</f>
        <v>151718.17</v>
      </c>
      <c r="F149" s="18" t="n">
        <f aca="false">SUMIFS($E$4:$E$143,$A$4:$A$143,$A149)</f>
        <v>202</v>
      </c>
      <c r="G149" s="15" t="n">
        <f aca="false">SUMIFS($I$4:$I$143,$A$4:$A$143,$A149)</f>
        <v>-3135.6</v>
      </c>
      <c r="H149" s="15" t="n">
        <f aca="false">ROUND(E149-B149,2)</f>
        <v>0</v>
      </c>
      <c r="I149" s="18" t="n">
        <f aca="false">F149-C149</f>
        <v>0</v>
      </c>
      <c r="J149" s="15" t="n">
        <f aca="false">ROUND(G149-D149,2)</f>
        <v>0</v>
      </c>
    </row>
    <row r="150" customFormat="false" ht="15" hidden="false" customHeight="false" outlineLevel="0" collapsed="false">
      <c r="A150" s="4" t="s">
        <v>271</v>
      </c>
      <c r="B150" s="15" t="n">
        <v>1678631.31</v>
      </c>
      <c r="C150" s="18" t="n">
        <v>1635</v>
      </c>
      <c r="D150" s="15" t="n">
        <v>0</v>
      </c>
      <c r="E150" s="15" t="n">
        <f aca="false">SUMIFS($C$4:$C$143,$A$4:$A$143,$A150)</f>
        <v>1678631.31</v>
      </c>
      <c r="F150" s="18" t="n">
        <f aca="false">SUMIFS($E$4:$E$143,$A$4:$A$143,$A150)</f>
        <v>1635</v>
      </c>
      <c r="G150" s="15" t="n">
        <f aca="false">SUMIFS($I$4:$I$143,$A$4:$A$143,$A150)</f>
        <v>0</v>
      </c>
      <c r="H150" s="15" t="n">
        <f aca="false">ROUND(E150-B150,2)</f>
        <v>0</v>
      </c>
      <c r="I150" s="18" t="n">
        <f aca="false">F150-C150</f>
        <v>0</v>
      </c>
      <c r="J150" s="15" t="n">
        <f aca="false">ROUND(G150-D150,2)</f>
        <v>0</v>
      </c>
    </row>
    <row r="151" customFormat="false" ht="15" hidden="false" customHeight="false" outlineLevel="0" collapsed="false">
      <c r="A151" s="4" t="s">
        <v>272</v>
      </c>
      <c r="B151" s="15" t="n">
        <v>392800.35</v>
      </c>
      <c r="C151" s="18" t="n">
        <v>653</v>
      </c>
      <c r="D151" s="15" t="n">
        <v>0</v>
      </c>
      <c r="E151" s="15" t="n">
        <f aca="false">SUMIFS($C$4:$C$143,$A$4:$A$143,$A151)</f>
        <v>392800.35</v>
      </c>
      <c r="F151" s="18" t="n">
        <f aca="false">SUMIFS($E$4:$E$143,$A$4:$A$143,$A151)</f>
        <v>653</v>
      </c>
      <c r="G151" s="15" t="n">
        <f aca="false">SUMIFS($I$4:$I$143,$A$4:$A$143,$A151)</f>
        <v>0</v>
      </c>
      <c r="H151" s="15" t="n">
        <f aca="false">ROUND(E151-B151,2)</f>
        <v>0</v>
      </c>
      <c r="I151" s="18" t="n">
        <f aca="false">F151-C151</f>
        <v>0</v>
      </c>
      <c r="J151" s="15" t="n">
        <f aca="false">ROUND(G151-D151,2)</f>
        <v>0</v>
      </c>
    </row>
    <row r="152" customFormat="false" ht="15" hidden="false" customHeight="false" outlineLevel="0" collapsed="false">
      <c r="A152" s="22" t="s">
        <v>763</v>
      </c>
      <c r="B152" s="23" t="n">
        <v>8980209.18</v>
      </c>
      <c r="C152" s="25" t="n">
        <v>11113</v>
      </c>
      <c r="D152" s="23" t="n">
        <v>-132608.12</v>
      </c>
      <c r="E152" s="23" t="n">
        <f aca="false">SUM(E147:E151)</f>
        <v>8980209.18</v>
      </c>
      <c r="F152" s="25" t="n">
        <f aca="false">SUM(F147:F151)</f>
        <v>11113</v>
      </c>
      <c r="G152" s="23" t="n">
        <f aca="false">SUM(G147:G151)</f>
        <v>-132608.12</v>
      </c>
      <c r="H152" s="23" t="n">
        <f aca="false">ROUND(E152-B152,2)</f>
        <v>0</v>
      </c>
      <c r="I152" s="25" t="n">
        <f aca="false">F152-C152</f>
        <v>0</v>
      </c>
      <c r="J152" s="23" t="n">
        <f aca="false">ROUND(G152-D152,2)</f>
        <v>0</v>
      </c>
    </row>
  </sheetData>
  <autoFilter ref="A3:O1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6"/>
    <col collapsed="false" customWidth="true" hidden="false" outlineLevel="0" max="5" min="4" style="0" width="14"/>
    <col collapsed="false" customWidth="true" hidden="false" outlineLevel="0" max="7" min="6" style="0" width="16"/>
    <col collapsed="false" customWidth="true" hidden="false" outlineLevel="0" max="8" min="8" style="0" width="18"/>
    <col collapsed="false" customWidth="true" hidden="false" outlineLevel="0" max="9" min="9" style="0" width="12"/>
  </cols>
  <sheetData>
    <row r="1" customFormat="false" ht="17.35" hidden="false" customHeight="false" outlineLevel="0" collapsed="false">
      <c r="A1" s="1" t="s">
        <v>208</v>
      </c>
    </row>
    <row r="2" customFormat="false" ht="15" hidden="false" customHeight="false" outlineLevel="0" collapsed="false">
      <c r="A2" s="8" t="s">
        <v>764</v>
      </c>
    </row>
    <row r="3" customFormat="false" ht="30" hidden="false" customHeight="true" outlineLevel="0" collapsed="false">
      <c r="A3" s="13" t="s">
        <v>765</v>
      </c>
      <c r="B3" s="13" t="s">
        <v>68</v>
      </c>
      <c r="C3" s="13" t="s">
        <v>69</v>
      </c>
      <c r="D3" s="13" t="s">
        <v>27</v>
      </c>
      <c r="E3" s="13" t="s">
        <v>70</v>
      </c>
      <c r="F3" s="13" t="s">
        <v>71</v>
      </c>
      <c r="G3" s="13" t="s">
        <v>766</v>
      </c>
      <c r="H3" s="13" t="s">
        <v>767</v>
      </c>
      <c r="I3" s="13" t="s">
        <v>276</v>
      </c>
    </row>
    <row r="4" customFormat="false" ht="15" hidden="false" customHeight="false" outlineLevel="0" collapsed="false">
      <c r="A4" s="21" t="n">
        <v>46203</v>
      </c>
      <c r="B4" s="15" t="n">
        <v>509561.75</v>
      </c>
      <c r="C4" s="15" t="n">
        <v>-118230.89</v>
      </c>
      <c r="D4" s="15" t="n">
        <v>0</v>
      </c>
      <c r="E4" s="15" t="n">
        <v>0</v>
      </c>
      <c r="F4" s="15" t="n">
        <v>0</v>
      </c>
      <c r="G4" s="21" t="n">
        <v>46204</v>
      </c>
      <c r="H4" s="15" t="n">
        <v>391330.86</v>
      </c>
      <c r="I4" s="15" t="n">
        <f aca="false">ROUND(SUM(B4:F4)-H4,2)</f>
        <v>0</v>
      </c>
    </row>
    <row r="5" customFormat="false" ht="15" hidden="false" customHeight="false" outlineLevel="0" collapsed="false">
      <c r="A5" s="21" t="n">
        <v>46203</v>
      </c>
      <c r="B5" s="15" t="n">
        <v>0</v>
      </c>
      <c r="C5" s="15" t="n">
        <v>0</v>
      </c>
      <c r="D5" s="15" t="n">
        <v>0</v>
      </c>
      <c r="E5" s="15" t="n">
        <v>0</v>
      </c>
      <c r="F5" s="15" t="n">
        <v>-163012.13</v>
      </c>
      <c r="G5" s="21" t="n">
        <v>46205</v>
      </c>
      <c r="H5" s="15" t="n">
        <v>-163012.13</v>
      </c>
      <c r="I5" s="15" t="n">
        <f aca="false">ROUND(SUM(B5:F5)-H5,2)</f>
        <v>0</v>
      </c>
    </row>
    <row r="6" customFormat="false" ht="15" hidden="false" customHeight="false" outlineLevel="0" collapsed="false">
      <c r="A6" s="21" t="n">
        <v>46204</v>
      </c>
      <c r="B6" s="15" t="n">
        <v>29047.87</v>
      </c>
      <c r="C6" s="15" t="n">
        <v>0</v>
      </c>
      <c r="D6" s="15" t="n">
        <v>-1213.82</v>
      </c>
      <c r="E6" s="15" t="n">
        <v>0</v>
      </c>
      <c r="F6" s="15" t="n">
        <v>0</v>
      </c>
      <c r="G6" s="21" t="n">
        <v>46204</v>
      </c>
      <c r="H6" s="15" t="n">
        <v>27834.05</v>
      </c>
      <c r="I6" s="15" t="n">
        <f aca="false">ROUND(SUM(B6:F6)-H6,2)</f>
        <v>0</v>
      </c>
    </row>
    <row r="7" customFormat="false" ht="15" hidden="false" customHeight="false" outlineLevel="0" collapsed="false">
      <c r="A7" s="21" t="n">
        <v>46204</v>
      </c>
      <c r="B7" s="15" t="n">
        <v>391562.44</v>
      </c>
      <c r="C7" s="15" t="n">
        <v>-55478.76</v>
      </c>
      <c r="D7" s="15" t="n">
        <v>0</v>
      </c>
      <c r="E7" s="15" t="n">
        <v>0</v>
      </c>
      <c r="F7" s="15" t="n">
        <v>0</v>
      </c>
      <c r="G7" s="21" t="n">
        <v>46205</v>
      </c>
      <c r="H7" s="15" t="n">
        <v>336083.68</v>
      </c>
      <c r="I7" s="15" t="n">
        <f aca="false">ROUND(SUM(B7:F7)-H7,2)</f>
        <v>0</v>
      </c>
    </row>
    <row r="8" customFormat="false" ht="15" hidden="false" customHeight="false" outlineLevel="0" collapsed="false">
      <c r="A8" s="21" t="n">
        <v>46205</v>
      </c>
      <c r="B8" s="15" t="n">
        <v>1739.76</v>
      </c>
      <c r="C8" s="15" t="n">
        <v>0</v>
      </c>
      <c r="D8" s="15" t="n">
        <v>0</v>
      </c>
      <c r="E8" s="15" t="n">
        <v>0</v>
      </c>
      <c r="F8" s="15" t="n">
        <v>0</v>
      </c>
      <c r="G8" s="21" t="n">
        <v>46205</v>
      </c>
      <c r="H8" s="15" t="n">
        <v>1739.76</v>
      </c>
      <c r="I8" s="15" t="n">
        <f aca="false">ROUND(SUM(B8:F8)-H8,2)</f>
        <v>0</v>
      </c>
    </row>
    <row r="9" customFormat="false" ht="15" hidden="false" customHeight="false" outlineLevel="0" collapsed="false">
      <c r="A9" s="21" t="n">
        <v>46205</v>
      </c>
      <c r="B9" s="15" t="n">
        <v>473942.28</v>
      </c>
      <c r="C9" s="15" t="n">
        <v>-97077.08</v>
      </c>
      <c r="D9" s="15" t="n">
        <v>0</v>
      </c>
      <c r="E9" s="15" t="n">
        <v>0</v>
      </c>
      <c r="F9" s="15" t="n">
        <v>0</v>
      </c>
      <c r="G9" s="21" t="n">
        <v>46206</v>
      </c>
      <c r="H9" s="15" t="n">
        <v>376865.2</v>
      </c>
      <c r="I9" s="15" t="n">
        <f aca="false">ROUND(SUM(B9:F9)-H9,2)</f>
        <v>0</v>
      </c>
    </row>
    <row r="10" customFormat="false" ht="15" hidden="false" customHeight="false" outlineLevel="0" collapsed="false">
      <c r="A10" s="21" t="n">
        <v>46206</v>
      </c>
      <c r="B10" s="15" t="n">
        <v>12214.91</v>
      </c>
      <c r="C10" s="15" t="n">
        <v>-544.42</v>
      </c>
      <c r="D10" s="15" t="n">
        <v>0</v>
      </c>
      <c r="E10" s="15" t="n">
        <v>0</v>
      </c>
      <c r="F10" s="15" t="n">
        <v>0</v>
      </c>
      <c r="G10" s="21" t="n">
        <v>46206</v>
      </c>
      <c r="H10" s="15" t="n">
        <v>11670.49</v>
      </c>
      <c r="I10" s="15" t="n">
        <f aca="false">ROUND(SUM(B10:F10)-H10,2)</f>
        <v>0</v>
      </c>
    </row>
    <row r="11" customFormat="false" ht="15" hidden="false" customHeight="false" outlineLevel="0" collapsed="false">
      <c r="A11" s="21" t="n">
        <v>46206</v>
      </c>
      <c r="B11" s="15" t="n">
        <v>124585.87</v>
      </c>
      <c r="C11" s="15" t="n">
        <v>-20999.7</v>
      </c>
      <c r="D11" s="15" t="n">
        <v>0</v>
      </c>
      <c r="E11" s="15" t="n">
        <v>0</v>
      </c>
      <c r="F11" s="15" t="n">
        <v>0</v>
      </c>
      <c r="G11" s="21" t="n">
        <v>46207</v>
      </c>
      <c r="H11" s="15" t="n">
        <v>103586.17</v>
      </c>
      <c r="I11" s="15" t="n">
        <f aca="false">ROUND(SUM(B11:F11)-H11,2)</f>
        <v>0</v>
      </c>
    </row>
    <row r="12" customFormat="false" ht="15" hidden="false" customHeight="false" outlineLevel="0" collapsed="false">
      <c r="A12" s="21" t="n">
        <v>46207</v>
      </c>
      <c r="B12" s="15" t="n">
        <v>-2360.77</v>
      </c>
      <c r="C12" s="15" t="n">
        <v>0</v>
      </c>
      <c r="D12" s="15" t="n">
        <v>0</v>
      </c>
      <c r="E12" s="15" t="n">
        <v>0</v>
      </c>
      <c r="F12" s="15" t="n">
        <v>0</v>
      </c>
      <c r="G12" s="21" t="n">
        <v>46207</v>
      </c>
      <c r="H12" s="15" t="n">
        <v>-2360.77</v>
      </c>
      <c r="I12" s="15" t="n">
        <f aca="false">ROUND(SUM(B12:F12)-H12,2)</f>
        <v>0</v>
      </c>
    </row>
    <row r="13" customFormat="false" ht="15" hidden="false" customHeight="false" outlineLevel="0" collapsed="false">
      <c r="A13" s="21" t="n">
        <v>46207</v>
      </c>
      <c r="B13" s="15" t="n">
        <v>1965.52</v>
      </c>
      <c r="C13" s="15" t="n">
        <v>-1965.52</v>
      </c>
      <c r="D13" s="15" t="n">
        <v>0</v>
      </c>
      <c r="E13" s="15" t="n">
        <v>0</v>
      </c>
      <c r="F13" s="15" t="n">
        <v>0</v>
      </c>
      <c r="G13" s="21" t="n">
        <v>46208</v>
      </c>
      <c r="H13" s="15" t="n">
        <v>0</v>
      </c>
      <c r="I13" s="15" t="n">
        <f aca="false">ROUND(SUM(B13:F13)-H13,2)</f>
        <v>0</v>
      </c>
    </row>
    <row r="14" customFormat="false" ht="15" hidden="false" customHeight="false" outlineLevel="0" collapsed="false">
      <c r="A14" s="21" t="n">
        <v>46208</v>
      </c>
      <c r="B14" s="15" t="n">
        <v>1818.92</v>
      </c>
      <c r="C14" s="15" t="n">
        <v>0</v>
      </c>
      <c r="D14" s="15" t="n">
        <v>0</v>
      </c>
      <c r="E14" s="15" t="n">
        <v>0</v>
      </c>
      <c r="F14" s="15" t="n">
        <v>0</v>
      </c>
      <c r="G14" s="21" t="n">
        <v>46209</v>
      </c>
      <c r="H14" s="15" t="n">
        <v>1818.92</v>
      </c>
      <c r="I14" s="15" t="n">
        <f aca="false">ROUND(SUM(B14:F14)-H14,2)</f>
        <v>0</v>
      </c>
    </row>
    <row r="15" customFormat="false" ht="15" hidden="false" customHeight="false" outlineLevel="0" collapsed="false">
      <c r="A15" s="21" t="n">
        <v>46209</v>
      </c>
      <c r="B15" s="15" t="n">
        <v>368117.09</v>
      </c>
      <c r="C15" s="15" t="n">
        <v>-63882.42</v>
      </c>
      <c r="D15" s="15" t="n">
        <v>0</v>
      </c>
      <c r="E15" s="15" t="n">
        <v>0</v>
      </c>
      <c r="F15" s="15" t="n">
        <v>0</v>
      </c>
      <c r="G15" s="21" t="n">
        <v>46210</v>
      </c>
      <c r="H15" s="15" t="n">
        <v>304234.67</v>
      </c>
      <c r="I15" s="15" t="n">
        <f aca="false">ROUND(SUM(B15:F15)-H15,2)</f>
        <v>0</v>
      </c>
    </row>
    <row r="16" customFormat="false" ht="15" hidden="false" customHeight="false" outlineLevel="0" collapsed="false">
      <c r="A16" s="21" t="n">
        <v>46210</v>
      </c>
      <c r="B16" s="15" t="n">
        <v>8906.49</v>
      </c>
      <c r="C16" s="15" t="n">
        <v>0</v>
      </c>
      <c r="D16" s="15" t="n">
        <v>0</v>
      </c>
      <c r="E16" s="15" t="n">
        <v>0</v>
      </c>
      <c r="F16" s="15" t="n">
        <v>0</v>
      </c>
      <c r="G16" s="21" t="n">
        <v>46210</v>
      </c>
      <c r="H16" s="15" t="n">
        <v>8906.49</v>
      </c>
      <c r="I16" s="15" t="n">
        <f aca="false">ROUND(SUM(B16:F16)-H16,2)</f>
        <v>0</v>
      </c>
    </row>
    <row r="17" customFormat="false" ht="15" hidden="false" customHeight="false" outlineLevel="0" collapsed="false">
      <c r="A17" s="21" t="n">
        <v>46210</v>
      </c>
      <c r="B17" s="15" t="n">
        <v>419820.76</v>
      </c>
      <c r="C17" s="15" t="n">
        <v>-89809.19</v>
      </c>
      <c r="D17" s="15" t="n">
        <v>0</v>
      </c>
      <c r="E17" s="15" t="n">
        <v>0</v>
      </c>
      <c r="F17" s="15" t="n">
        <v>0</v>
      </c>
      <c r="G17" s="21" t="n">
        <v>46211</v>
      </c>
      <c r="H17" s="15" t="n">
        <v>330011.57</v>
      </c>
      <c r="I17" s="15" t="n">
        <f aca="false">ROUND(SUM(B17:F17)-H17,2)</f>
        <v>0</v>
      </c>
    </row>
    <row r="18" customFormat="false" ht="15" hidden="false" customHeight="false" outlineLevel="0" collapsed="false">
      <c r="A18" s="21" t="n">
        <v>46211</v>
      </c>
      <c r="B18" s="15" t="n">
        <v>6075.68</v>
      </c>
      <c r="C18" s="15" t="n">
        <v>-3026.34</v>
      </c>
      <c r="D18" s="15" t="n">
        <v>0</v>
      </c>
      <c r="E18" s="15" t="n">
        <v>0</v>
      </c>
      <c r="F18" s="15" t="n">
        <v>0</v>
      </c>
      <c r="G18" s="21" t="n">
        <v>46211</v>
      </c>
      <c r="H18" s="15" t="n">
        <v>3049.34</v>
      </c>
      <c r="I18" s="15" t="n">
        <f aca="false">ROUND(SUM(B18:F18)-H18,2)</f>
        <v>0</v>
      </c>
    </row>
    <row r="19" customFormat="false" ht="15" hidden="false" customHeight="false" outlineLevel="0" collapsed="false">
      <c r="A19" s="21" t="n">
        <v>46211</v>
      </c>
      <c r="B19" s="15" t="n">
        <v>446122.2</v>
      </c>
      <c r="C19" s="15" t="n">
        <v>-73838.26</v>
      </c>
      <c r="D19" s="15" t="n">
        <v>0</v>
      </c>
      <c r="E19" s="15" t="n">
        <v>0</v>
      </c>
      <c r="F19" s="15" t="n">
        <v>0</v>
      </c>
      <c r="G19" s="21" t="n">
        <v>46212</v>
      </c>
      <c r="H19" s="15" t="n">
        <v>372283.94</v>
      </c>
      <c r="I19" s="15" t="n">
        <f aca="false">ROUND(SUM(B19:F19)-H19,2)</f>
        <v>0</v>
      </c>
    </row>
    <row r="20" customFormat="false" ht="15" hidden="false" customHeight="false" outlineLevel="0" collapsed="false">
      <c r="A20" s="21" t="n">
        <v>46212</v>
      </c>
      <c r="B20" s="15" t="n">
        <v>7019.84</v>
      </c>
      <c r="C20" s="15" t="n">
        <v>0</v>
      </c>
      <c r="D20" s="15" t="n">
        <v>0</v>
      </c>
      <c r="E20" s="15" t="n">
        <v>0</v>
      </c>
      <c r="F20" s="15" t="n">
        <v>0</v>
      </c>
      <c r="G20" s="21" t="n">
        <v>46212</v>
      </c>
      <c r="H20" s="15" t="n">
        <v>7019.84</v>
      </c>
      <c r="I20" s="15" t="n">
        <f aca="false">ROUND(SUM(B20:F20)-H20,2)</f>
        <v>0</v>
      </c>
    </row>
    <row r="21" customFormat="false" ht="15" hidden="false" customHeight="false" outlineLevel="0" collapsed="false">
      <c r="A21" s="21" t="n">
        <v>46212</v>
      </c>
      <c r="B21" s="15" t="n">
        <v>474699.07</v>
      </c>
      <c r="C21" s="15" t="n">
        <v>-61209.25</v>
      </c>
      <c r="D21" s="15" t="n">
        <v>0</v>
      </c>
      <c r="E21" s="15" t="n">
        <v>0</v>
      </c>
      <c r="F21" s="15" t="n">
        <v>0</v>
      </c>
      <c r="G21" s="21" t="n">
        <v>46213</v>
      </c>
      <c r="H21" s="15" t="n">
        <v>413489.82</v>
      </c>
      <c r="I21" s="15" t="n">
        <f aca="false">ROUND(SUM(B21:F21)-H21,2)</f>
        <v>0</v>
      </c>
    </row>
    <row r="22" customFormat="false" ht="15" hidden="false" customHeight="false" outlineLevel="0" collapsed="false">
      <c r="A22" s="21" t="n">
        <v>46213</v>
      </c>
      <c r="B22" s="15" t="n">
        <v>18800.58</v>
      </c>
      <c r="C22" s="15" t="n">
        <v>0</v>
      </c>
      <c r="D22" s="15" t="n">
        <v>0</v>
      </c>
      <c r="E22" s="15" t="n">
        <v>0</v>
      </c>
      <c r="F22" s="15" t="n">
        <v>0</v>
      </c>
      <c r="G22" s="21" t="n">
        <v>46213</v>
      </c>
      <c r="H22" s="15" t="n">
        <v>18800.58</v>
      </c>
      <c r="I22" s="15" t="n">
        <f aca="false">ROUND(SUM(B22:F22)-H22,2)</f>
        <v>0</v>
      </c>
    </row>
    <row r="23" customFormat="false" ht="15" hidden="false" customHeight="false" outlineLevel="0" collapsed="false">
      <c r="A23" s="21" t="n">
        <v>46213</v>
      </c>
      <c r="B23" s="15" t="n">
        <v>446371.1</v>
      </c>
      <c r="C23" s="15" t="n">
        <v>-71684.68</v>
      </c>
      <c r="D23" s="15" t="n">
        <v>0</v>
      </c>
      <c r="E23" s="15" t="n">
        <v>0</v>
      </c>
      <c r="F23" s="15" t="n">
        <v>0</v>
      </c>
      <c r="G23" s="21" t="n">
        <v>46214</v>
      </c>
      <c r="H23" s="15" t="n">
        <v>374686.42</v>
      </c>
      <c r="I23" s="15" t="n">
        <f aca="false">ROUND(SUM(B23:F23)-H23,2)</f>
        <v>0</v>
      </c>
    </row>
    <row r="24" customFormat="false" ht="15" hidden="false" customHeight="false" outlineLevel="0" collapsed="false">
      <c r="A24" s="21" t="n">
        <v>46214</v>
      </c>
      <c r="B24" s="15" t="n">
        <v>10743.85</v>
      </c>
      <c r="C24" s="15" t="n">
        <v>-1264.4</v>
      </c>
      <c r="D24" s="15" t="n">
        <v>0</v>
      </c>
      <c r="E24" s="15" t="n">
        <v>0</v>
      </c>
      <c r="F24" s="15" t="n">
        <v>0</v>
      </c>
      <c r="G24" s="21" t="n">
        <v>46214</v>
      </c>
      <c r="H24" s="15" t="n">
        <v>9479.45</v>
      </c>
      <c r="I24" s="15" t="n">
        <f aca="false">ROUND(SUM(B24:F24)-H24,2)</f>
        <v>0</v>
      </c>
    </row>
    <row r="25" customFormat="false" ht="15" hidden="false" customHeight="false" outlineLevel="0" collapsed="false">
      <c r="A25" s="21" t="n">
        <v>46214</v>
      </c>
      <c r="B25" s="15" t="n">
        <v>6716.52</v>
      </c>
      <c r="C25" s="15" t="n">
        <v>-207.96</v>
      </c>
      <c r="D25" s="15" t="n">
        <v>0</v>
      </c>
      <c r="E25" s="15" t="n">
        <v>0</v>
      </c>
      <c r="F25" s="15" t="n">
        <v>0</v>
      </c>
      <c r="G25" s="21" t="n">
        <v>46215</v>
      </c>
      <c r="H25" s="15" t="n">
        <v>6508.56</v>
      </c>
      <c r="I25" s="15" t="n">
        <f aca="false">ROUND(SUM(B25:F25)-H25,2)</f>
        <v>0</v>
      </c>
    </row>
    <row r="26" customFormat="false" ht="15" hidden="false" customHeight="false" outlineLevel="0" collapsed="false">
      <c r="A26" s="21" t="n">
        <v>46215</v>
      </c>
      <c r="B26" s="15" t="n">
        <v>22071.47</v>
      </c>
      <c r="C26" s="15" t="n">
        <v>0</v>
      </c>
      <c r="D26" s="15" t="n">
        <v>0</v>
      </c>
      <c r="E26" s="15" t="n">
        <v>0</v>
      </c>
      <c r="F26" s="15" t="n">
        <v>0</v>
      </c>
      <c r="G26" s="21" t="n">
        <v>46216</v>
      </c>
      <c r="H26" s="15" t="n">
        <v>22071.47</v>
      </c>
      <c r="I26" s="15" t="n">
        <f aca="false">ROUND(SUM(B26:F26)-H26,2)</f>
        <v>0</v>
      </c>
    </row>
    <row r="27" customFormat="false" ht="15" hidden="false" customHeight="false" outlineLevel="0" collapsed="false">
      <c r="A27" s="21" t="n">
        <v>46216</v>
      </c>
      <c r="B27" s="15" t="n">
        <v>352195.26</v>
      </c>
      <c r="C27" s="15" t="n">
        <v>-89334.75</v>
      </c>
      <c r="D27" s="15" t="n">
        <v>0</v>
      </c>
      <c r="E27" s="15" t="n">
        <v>0</v>
      </c>
      <c r="F27" s="15" t="n">
        <v>0</v>
      </c>
      <c r="G27" s="21" t="n">
        <v>46217</v>
      </c>
      <c r="H27" s="15" t="n">
        <v>262860.51</v>
      </c>
      <c r="I27" s="15" t="n">
        <f aca="false">ROUND(SUM(B27:F27)-H27,2)</f>
        <v>0</v>
      </c>
    </row>
    <row r="28" customFormat="false" ht="15" hidden="false" customHeight="false" outlineLevel="0" collapsed="false">
      <c r="A28" s="21" t="n">
        <v>46217</v>
      </c>
      <c r="B28" s="15" t="n">
        <v>2196.96</v>
      </c>
      <c r="C28" s="15" t="n">
        <v>-78.58</v>
      </c>
      <c r="D28" s="15" t="n">
        <v>0</v>
      </c>
      <c r="E28" s="15" t="n">
        <v>0</v>
      </c>
      <c r="F28" s="15" t="n">
        <v>0</v>
      </c>
      <c r="G28" s="21" t="n">
        <v>46217</v>
      </c>
      <c r="H28" s="15" t="n">
        <v>2118.38</v>
      </c>
      <c r="I28" s="15" t="n">
        <f aca="false">ROUND(SUM(B28:F28)-H28,2)</f>
        <v>0</v>
      </c>
    </row>
    <row r="29" customFormat="false" ht="15" hidden="false" customHeight="false" outlineLevel="0" collapsed="false">
      <c r="A29" s="21" t="n">
        <v>46217</v>
      </c>
      <c r="B29" s="15" t="n">
        <v>364582.45</v>
      </c>
      <c r="C29" s="15" t="n">
        <v>-72978.12</v>
      </c>
      <c r="D29" s="15" t="n">
        <v>0</v>
      </c>
      <c r="E29" s="15" t="n">
        <v>0</v>
      </c>
      <c r="F29" s="15" t="n">
        <v>0</v>
      </c>
      <c r="G29" s="21" t="n">
        <v>46218</v>
      </c>
      <c r="H29" s="15" t="n">
        <v>291604.33</v>
      </c>
      <c r="I29" s="15" t="n">
        <f aca="false">ROUND(SUM(B29:F29)-H29,2)</f>
        <v>0</v>
      </c>
    </row>
    <row r="30" customFormat="false" ht="15" hidden="false" customHeight="false" outlineLevel="0" collapsed="false">
      <c r="A30" s="21" t="n">
        <v>46218</v>
      </c>
      <c r="B30" s="15" t="n">
        <v>21568.44</v>
      </c>
      <c r="C30" s="15" t="n">
        <v>20.34</v>
      </c>
      <c r="D30" s="15" t="n">
        <v>0</v>
      </c>
      <c r="E30" s="15" t="n">
        <v>0</v>
      </c>
      <c r="F30" s="15" t="n">
        <v>0</v>
      </c>
      <c r="G30" s="21" t="n">
        <v>46218</v>
      </c>
      <c r="H30" s="15" t="n">
        <v>21588.78</v>
      </c>
      <c r="I30" s="15" t="n">
        <f aca="false">ROUND(SUM(B30:F30)-H30,2)</f>
        <v>0</v>
      </c>
    </row>
    <row r="31" customFormat="false" ht="15" hidden="false" customHeight="false" outlineLevel="0" collapsed="false">
      <c r="A31" s="21" t="n">
        <v>46218</v>
      </c>
      <c r="B31" s="15" t="n">
        <v>371282.6</v>
      </c>
      <c r="C31" s="15" t="n">
        <v>-71372.03</v>
      </c>
      <c r="D31" s="15" t="n">
        <v>0</v>
      </c>
      <c r="E31" s="15" t="n">
        <v>0</v>
      </c>
      <c r="F31" s="15" t="n">
        <v>0</v>
      </c>
      <c r="G31" s="21" t="n">
        <v>46219</v>
      </c>
      <c r="H31" s="15" t="n">
        <v>299910.57</v>
      </c>
      <c r="I31" s="15" t="n">
        <f aca="false">ROUND(SUM(B31:F31)-H31,2)</f>
        <v>0</v>
      </c>
    </row>
    <row r="32" customFormat="false" ht="15" hidden="false" customHeight="false" outlineLevel="0" collapsed="false">
      <c r="A32" s="21" t="n">
        <v>46219</v>
      </c>
      <c r="B32" s="15" t="n">
        <v>7109.51</v>
      </c>
      <c r="C32" s="15" t="n">
        <v>-215.84</v>
      </c>
      <c r="D32" s="15" t="n">
        <v>0</v>
      </c>
      <c r="E32" s="15" t="n">
        <v>0</v>
      </c>
      <c r="F32" s="15" t="n">
        <v>0</v>
      </c>
      <c r="G32" s="21" t="n">
        <v>46219</v>
      </c>
      <c r="H32" s="15" t="n">
        <v>6893.67</v>
      </c>
      <c r="I32" s="15" t="n">
        <f aca="false">ROUND(SUM(B32:F32)-H32,2)</f>
        <v>0</v>
      </c>
    </row>
    <row r="33" customFormat="false" ht="15" hidden="false" customHeight="false" outlineLevel="0" collapsed="false">
      <c r="A33" s="21" t="n">
        <v>46219</v>
      </c>
      <c r="B33" s="15" t="n">
        <v>301863.56</v>
      </c>
      <c r="C33" s="15" t="n">
        <v>-48379.92</v>
      </c>
      <c r="D33" s="15" t="n">
        <v>0</v>
      </c>
      <c r="E33" s="15" t="n">
        <v>0</v>
      </c>
      <c r="F33" s="15" t="n">
        <v>0</v>
      </c>
      <c r="G33" s="21" t="n">
        <v>46220</v>
      </c>
      <c r="H33" s="15" t="n">
        <v>253483.64</v>
      </c>
      <c r="I33" s="15" t="n">
        <f aca="false">ROUND(SUM(B33:F33)-H33,2)</f>
        <v>0</v>
      </c>
    </row>
    <row r="34" customFormat="false" ht="15" hidden="false" customHeight="false" outlineLevel="0" collapsed="false">
      <c r="A34" s="21" t="n">
        <v>46220</v>
      </c>
      <c r="B34" s="15" t="n">
        <v>811.83</v>
      </c>
      <c r="C34" s="15" t="n">
        <v>0</v>
      </c>
      <c r="D34" s="15" t="n">
        <v>0</v>
      </c>
      <c r="E34" s="15" t="n">
        <v>0</v>
      </c>
      <c r="F34" s="15" t="n">
        <v>0</v>
      </c>
      <c r="G34" s="21" t="n">
        <v>46220</v>
      </c>
      <c r="H34" s="15" t="n">
        <v>811.83</v>
      </c>
      <c r="I34" s="15" t="n">
        <f aca="false">ROUND(SUM(B34:F34)-H34,2)</f>
        <v>0</v>
      </c>
    </row>
    <row r="35" customFormat="false" ht="15" hidden="false" customHeight="false" outlineLevel="0" collapsed="false">
      <c r="A35" s="21" t="n">
        <v>46220</v>
      </c>
      <c r="B35" s="15" t="n">
        <v>512478.89</v>
      </c>
      <c r="C35" s="15" t="n">
        <v>-119008.56</v>
      </c>
      <c r="D35" s="15" t="n">
        <v>0</v>
      </c>
      <c r="E35" s="15" t="n">
        <v>0</v>
      </c>
      <c r="F35" s="15" t="n">
        <v>0</v>
      </c>
      <c r="G35" s="21" t="n">
        <v>46221</v>
      </c>
      <c r="H35" s="15" t="n">
        <v>393470.33</v>
      </c>
      <c r="I35" s="15" t="n">
        <f aca="false">ROUND(SUM(B35:F35)-H35,2)</f>
        <v>0</v>
      </c>
    </row>
    <row r="36" customFormat="false" ht="15" hidden="false" customHeight="false" outlineLevel="0" collapsed="false">
      <c r="A36" s="21" t="n">
        <v>46221</v>
      </c>
      <c r="B36" s="15" t="n">
        <v>1447.11</v>
      </c>
      <c r="C36" s="15" t="n">
        <v>0</v>
      </c>
      <c r="D36" s="15" t="n">
        <v>0</v>
      </c>
      <c r="E36" s="15" t="n">
        <v>0</v>
      </c>
      <c r="F36" s="15" t="n">
        <v>0</v>
      </c>
      <c r="G36" s="21" t="n">
        <v>46221</v>
      </c>
      <c r="H36" s="15" t="n">
        <v>1447.11</v>
      </c>
      <c r="I36" s="15" t="n">
        <f aca="false">ROUND(SUM(B36:F36)-H36,2)</f>
        <v>0</v>
      </c>
    </row>
    <row r="37" customFormat="false" ht="15" hidden="false" customHeight="false" outlineLevel="0" collapsed="false">
      <c r="A37" s="21" t="n">
        <v>46221</v>
      </c>
      <c r="B37" s="15" t="n">
        <v>77278.08</v>
      </c>
      <c r="C37" s="15" t="n">
        <v>0</v>
      </c>
      <c r="D37" s="15" t="n">
        <v>0</v>
      </c>
      <c r="E37" s="15" t="n">
        <v>0</v>
      </c>
      <c r="F37" s="15" t="n">
        <v>0</v>
      </c>
      <c r="G37" s="21" t="n">
        <v>46222</v>
      </c>
      <c r="H37" s="15" t="n">
        <v>77278.08</v>
      </c>
      <c r="I37" s="15" t="n">
        <f aca="false">ROUND(SUM(B37:F37)-H37,2)</f>
        <v>0</v>
      </c>
    </row>
    <row r="38" customFormat="false" ht="15" hidden="false" customHeight="false" outlineLevel="0" collapsed="false">
      <c r="A38" s="21" t="n">
        <v>46222</v>
      </c>
      <c r="B38" s="15" t="n">
        <v>2854.4</v>
      </c>
      <c r="C38" s="15" t="n">
        <v>0</v>
      </c>
      <c r="D38" s="15" t="n">
        <v>0</v>
      </c>
      <c r="E38" s="15" t="n">
        <v>0</v>
      </c>
      <c r="F38" s="15" t="n">
        <v>0</v>
      </c>
      <c r="G38" s="21" t="n">
        <v>46223</v>
      </c>
      <c r="H38" s="15" t="n">
        <v>2854.4</v>
      </c>
      <c r="I38" s="15" t="n">
        <f aca="false">ROUND(SUM(B38:F38)-H38,2)</f>
        <v>0</v>
      </c>
    </row>
    <row r="39" customFormat="false" ht="15" hidden="false" customHeight="false" outlineLevel="0" collapsed="false">
      <c r="A39" s="21" t="n">
        <v>46223</v>
      </c>
      <c r="B39" s="15" t="n">
        <v>330320.3</v>
      </c>
      <c r="C39" s="15" t="n">
        <v>-62157.92</v>
      </c>
      <c r="D39" s="15" t="n">
        <v>0</v>
      </c>
      <c r="E39" s="15" t="n">
        <v>0</v>
      </c>
      <c r="F39" s="15" t="n">
        <v>0</v>
      </c>
      <c r="G39" s="21" t="n">
        <v>46224</v>
      </c>
      <c r="H39" s="15" t="n">
        <v>268162.38</v>
      </c>
      <c r="I39" s="15" t="n">
        <f aca="false">ROUND(SUM(B39:F39)-H39,2)</f>
        <v>0</v>
      </c>
    </row>
    <row r="40" customFormat="false" ht="15" hidden="false" customHeight="false" outlineLevel="0" collapsed="false">
      <c r="A40" s="21" t="n">
        <v>46224</v>
      </c>
      <c r="B40" s="15" t="n">
        <v>2440.84</v>
      </c>
      <c r="C40" s="15" t="n">
        <v>0</v>
      </c>
      <c r="D40" s="15" t="n">
        <v>0</v>
      </c>
      <c r="E40" s="15" t="n">
        <v>0</v>
      </c>
      <c r="F40" s="15" t="n">
        <v>0</v>
      </c>
      <c r="G40" s="21" t="n">
        <v>46224</v>
      </c>
      <c r="H40" s="15" t="n">
        <v>2440.84</v>
      </c>
      <c r="I40" s="15" t="n">
        <f aca="false">ROUND(SUM(B40:F40)-H40,2)</f>
        <v>0</v>
      </c>
    </row>
    <row r="41" customFormat="false" ht="15" hidden="false" customHeight="false" outlineLevel="0" collapsed="false">
      <c r="A41" s="21" t="n">
        <v>46224</v>
      </c>
      <c r="B41" s="15" t="n">
        <v>397533.58</v>
      </c>
      <c r="C41" s="15" t="n">
        <v>-94529.53</v>
      </c>
      <c r="D41" s="15" t="n">
        <v>0</v>
      </c>
      <c r="E41" s="15" t="n">
        <v>0</v>
      </c>
      <c r="F41" s="15" t="n">
        <v>0</v>
      </c>
      <c r="G41" s="21" t="n">
        <v>46225</v>
      </c>
      <c r="H41" s="15" t="n">
        <v>303004.05</v>
      </c>
      <c r="I41" s="15" t="n">
        <f aca="false">ROUND(SUM(B41:F41)-H41,2)</f>
        <v>0</v>
      </c>
    </row>
    <row r="42" customFormat="false" ht="15" hidden="false" customHeight="false" outlineLevel="0" collapsed="false">
      <c r="A42" s="21" t="n">
        <v>46225</v>
      </c>
      <c r="B42" s="15" t="n">
        <v>4086.21</v>
      </c>
      <c r="C42" s="15" t="n">
        <v>-35</v>
      </c>
      <c r="D42" s="15" t="n">
        <v>0</v>
      </c>
      <c r="E42" s="15" t="n">
        <v>0</v>
      </c>
      <c r="F42" s="15" t="n">
        <v>0</v>
      </c>
      <c r="G42" s="21" t="n">
        <v>46225</v>
      </c>
      <c r="H42" s="15" t="n">
        <v>4051.21</v>
      </c>
      <c r="I42" s="15" t="n">
        <f aca="false">ROUND(SUM(B42:F42)-H42,2)</f>
        <v>0</v>
      </c>
    </row>
    <row r="43" customFormat="false" ht="15" hidden="false" customHeight="false" outlineLevel="0" collapsed="false">
      <c r="A43" s="21" t="n">
        <v>46225</v>
      </c>
      <c r="B43" s="15" t="n">
        <v>321726.54</v>
      </c>
      <c r="C43" s="15" t="n">
        <v>-55269.5</v>
      </c>
      <c r="D43" s="15" t="n">
        <v>0</v>
      </c>
      <c r="E43" s="15" t="n">
        <v>0</v>
      </c>
      <c r="F43" s="15" t="n">
        <v>0</v>
      </c>
      <c r="G43" s="21" t="n">
        <v>46226</v>
      </c>
      <c r="H43" s="15" t="n">
        <v>266457.04</v>
      </c>
      <c r="I43" s="15" t="n">
        <f aca="false">ROUND(SUM(B43:F43)-H43,2)</f>
        <v>0</v>
      </c>
    </row>
    <row r="44" customFormat="false" ht="15" hidden="false" customHeight="false" outlineLevel="0" collapsed="false">
      <c r="A44" s="21" t="n">
        <v>46226</v>
      </c>
      <c r="B44" s="15" t="n">
        <v>15271.48</v>
      </c>
      <c r="C44" s="15" t="n">
        <v>0</v>
      </c>
      <c r="D44" s="15" t="n">
        <v>0</v>
      </c>
      <c r="E44" s="15" t="n">
        <v>0</v>
      </c>
      <c r="F44" s="15" t="n">
        <v>0</v>
      </c>
      <c r="G44" s="21" t="n">
        <v>46226</v>
      </c>
      <c r="H44" s="15" t="n">
        <v>15271.48</v>
      </c>
      <c r="I44" s="15" t="n">
        <f aca="false">ROUND(SUM(B44:F44)-H44,2)</f>
        <v>0</v>
      </c>
    </row>
    <row r="45" customFormat="false" ht="15" hidden="false" customHeight="false" outlineLevel="0" collapsed="false">
      <c r="A45" s="21" t="n">
        <v>46226</v>
      </c>
      <c r="B45" s="15" t="n">
        <v>329536.62</v>
      </c>
      <c r="C45" s="15" t="n">
        <v>-65080.53</v>
      </c>
      <c r="D45" s="15" t="n">
        <v>0</v>
      </c>
      <c r="E45" s="15" t="n">
        <v>0</v>
      </c>
      <c r="F45" s="15" t="n">
        <v>0</v>
      </c>
      <c r="G45" s="21" t="n">
        <v>46227</v>
      </c>
      <c r="H45" s="15" t="n">
        <v>264456.09</v>
      </c>
      <c r="I45" s="15" t="n">
        <f aca="false">ROUND(SUM(B45:F45)-H45,2)</f>
        <v>0</v>
      </c>
    </row>
    <row r="46" customFormat="false" ht="15" hidden="false" customHeight="false" outlineLevel="0" collapsed="false">
      <c r="A46" s="21" t="n">
        <v>46227</v>
      </c>
      <c r="B46" s="15" t="n">
        <v>5910.49</v>
      </c>
      <c r="C46" s="15" t="n">
        <v>-249.17</v>
      </c>
      <c r="D46" s="15" t="n">
        <v>0</v>
      </c>
      <c r="E46" s="15" t="n">
        <v>0</v>
      </c>
      <c r="F46" s="15" t="n">
        <v>0</v>
      </c>
      <c r="G46" s="21" t="n">
        <v>46227</v>
      </c>
      <c r="H46" s="15" t="n">
        <v>5661.32</v>
      </c>
      <c r="I46" s="15" t="n">
        <f aca="false">ROUND(SUM(B46:F46)-H46,2)</f>
        <v>0</v>
      </c>
    </row>
    <row r="47" customFormat="false" ht="15" hidden="false" customHeight="false" outlineLevel="0" collapsed="false">
      <c r="A47" s="21" t="n">
        <v>46227</v>
      </c>
      <c r="B47" s="15" t="n">
        <v>366622.22</v>
      </c>
      <c r="C47" s="15" t="n">
        <v>-46525.02</v>
      </c>
      <c r="D47" s="15" t="n">
        <v>0</v>
      </c>
      <c r="E47" s="15" t="n">
        <v>0</v>
      </c>
      <c r="F47" s="15" t="n">
        <v>0</v>
      </c>
      <c r="G47" s="21" t="n">
        <v>46228</v>
      </c>
      <c r="H47" s="15" t="n">
        <v>320097.2</v>
      </c>
      <c r="I47" s="15" t="n">
        <f aca="false">ROUND(SUM(B47:F47)-H47,2)</f>
        <v>0</v>
      </c>
    </row>
    <row r="48" customFormat="false" ht="15" hidden="false" customHeight="false" outlineLevel="0" collapsed="false">
      <c r="A48" s="21" t="n">
        <v>46228</v>
      </c>
      <c r="B48" s="15" t="n">
        <v>5698.56</v>
      </c>
      <c r="C48" s="15" t="n">
        <v>-1559.3</v>
      </c>
      <c r="D48" s="15" t="n">
        <v>0</v>
      </c>
      <c r="E48" s="15" t="n">
        <v>0</v>
      </c>
      <c r="F48" s="15" t="n">
        <v>0</v>
      </c>
      <c r="G48" s="21" t="n">
        <v>46228</v>
      </c>
      <c r="H48" s="15" t="n">
        <v>4139.26</v>
      </c>
      <c r="I48" s="15" t="n">
        <f aca="false">ROUND(SUM(B48:F48)-H48,2)</f>
        <v>0</v>
      </c>
    </row>
    <row r="49" customFormat="false" ht="15" hidden="false" customHeight="false" outlineLevel="0" collapsed="false">
      <c r="A49" s="21" t="n">
        <v>46228</v>
      </c>
      <c r="B49" s="15" t="n">
        <v>4171.8</v>
      </c>
      <c r="C49" s="15" t="n">
        <v>-72.06</v>
      </c>
      <c r="D49" s="15" t="n">
        <v>0</v>
      </c>
      <c r="E49" s="15" t="n">
        <v>0</v>
      </c>
      <c r="F49" s="15" t="n">
        <v>0</v>
      </c>
      <c r="G49" s="21" t="n">
        <v>46229</v>
      </c>
      <c r="H49" s="15" t="n">
        <v>4099.74</v>
      </c>
      <c r="I49" s="15" t="n">
        <f aca="false">ROUND(SUM(B49:F49)-H49,2)</f>
        <v>0</v>
      </c>
    </row>
    <row r="50" customFormat="false" ht="15" hidden="false" customHeight="false" outlineLevel="0" collapsed="false">
      <c r="A50" s="21" t="n">
        <v>46230</v>
      </c>
      <c r="B50" s="15" t="n">
        <v>476073.54</v>
      </c>
      <c r="C50" s="15" t="n">
        <v>-149057.39</v>
      </c>
      <c r="D50" s="15" t="n">
        <v>0</v>
      </c>
      <c r="E50" s="15" t="n">
        <v>0</v>
      </c>
      <c r="F50" s="15" t="n">
        <v>0</v>
      </c>
      <c r="G50" s="21" t="n">
        <v>46231</v>
      </c>
      <c r="H50" s="15" t="n">
        <v>327016.15</v>
      </c>
      <c r="I50" s="15" t="n">
        <f aca="false">ROUND(SUM(B50:F50)-H50,2)</f>
        <v>0</v>
      </c>
    </row>
    <row r="51" customFormat="false" ht="15" hidden="false" customHeight="false" outlineLevel="0" collapsed="false">
      <c r="A51" s="21" t="n">
        <v>46231</v>
      </c>
      <c r="B51" s="15" t="n">
        <v>6943.15</v>
      </c>
      <c r="C51" s="15" t="n">
        <v>0</v>
      </c>
      <c r="D51" s="15" t="n">
        <v>0</v>
      </c>
      <c r="E51" s="15" t="n">
        <v>0</v>
      </c>
      <c r="F51" s="15" t="n">
        <v>0</v>
      </c>
      <c r="G51" s="21" t="n">
        <v>46231</v>
      </c>
      <c r="H51" s="15" t="n">
        <v>6943.15</v>
      </c>
      <c r="I51" s="15" t="n">
        <f aca="false">ROUND(SUM(B51:F51)-H51,2)</f>
        <v>0</v>
      </c>
    </row>
    <row r="52" customFormat="false" ht="15" hidden="false" customHeight="false" outlineLevel="0" collapsed="false">
      <c r="A52" s="21" t="n">
        <v>46231</v>
      </c>
      <c r="B52" s="15" t="n">
        <v>315836.08</v>
      </c>
      <c r="C52" s="15" t="n">
        <v>-27088.12</v>
      </c>
      <c r="D52" s="15" t="n">
        <v>0</v>
      </c>
      <c r="E52" s="15" t="n">
        <v>0</v>
      </c>
      <c r="F52" s="15" t="n">
        <v>0</v>
      </c>
      <c r="G52" s="21" t="n">
        <v>46232</v>
      </c>
      <c r="H52" s="15" t="n">
        <v>288747.96</v>
      </c>
      <c r="I52" s="15" t="n">
        <f aca="false">ROUND(SUM(B52:F52)-H52,2)</f>
        <v>0</v>
      </c>
    </row>
    <row r="53" customFormat="false" ht="15" hidden="false" customHeight="false" outlineLevel="0" collapsed="false">
      <c r="A53" s="21" t="n">
        <v>46232</v>
      </c>
      <c r="B53" s="15" t="n">
        <v>1152.68</v>
      </c>
      <c r="C53" s="15" t="n">
        <v>-8.81</v>
      </c>
      <c r="D53" s="15" t="n">
        <v>0</v>
      </c>
      <c r="E53" s="15" t="n">
        <v>0</v>
      </c>
      <c r="F53" s="15" t="n">
        <v>0</v>
      </c>
      <c r="G53" s="21" t="n">
        <v>46232</v>
      </c>
      <c r="H53" s="15" t="n">
        <v>1143.87</v>
      </c>
      <c r="I53" s="15" t="n">
        <f aca="false">ROUND(SUM(B53:F53)-H53,2)</f>
        <v>0</v>
      </c>
    </row>
    <row r="54" customFormat="false" ht="15" hidden="false" customHeight="false" outlineLevel="0" collapsed="false">
      <c r="A54" s="21" t="n">
        <v>46232</v>
      </c>
      <c r="B54" s="15" t="n">
        <v>279698.7</v>
      </c>
      <c r="C54" s="15" t="n">
        <v>-87006.16</v>
      </c>
      <c r="D54" s="15" t="n">
        <v>0</v>
      </c>
      <c r="E54" s="15" t="n">
        <v>0</v>
      </c>
      <c r="F54" s="15" t="n">
        <v>0</v>
      </c>
      <c r="G54" s="21" t="n">
        <v>46233</v>
      </c>
      <c r="H54" s="15" t="n">
        <v>192692.54</v>
      </c>
      <c r="I54" s="15" t="n">
        <f aca="false">ROUND(SUM(B54:F54)-H54,2)</f>
        <v>0</v>
      </c>
    </row>
    <row r="55" customFormat="false" ht="15" hidden="false" customHeight="false" outlineLevel="0" collapsed="false">
      <c r="A55" s="21" t="n">
        <v>46233</v>
      </c>
      <c r="B55" s="15" t="n">
        <v>2825.39</v>
      </c>
      <c r="C55" s="15" t="n">
        <v>0</v>
      </c>
      <c r="D55" s="15" t="n">
        <v>0</v>
      </c>
      <c r="E55" s="15" t="n">
        <v>0</v>
      </c>
      <c r="F55" s="15" t="n">
        <v>0</v>
      </c>
      <c r="G55" s="21" t="n">
        <v>46233</v>
      </c>
      <c r="H55" s="15" t="n">
        <v>2825.39</v>
      </c>
      <c r="I55" s="15" t="n">
        <f aca="false">ROUND(SUM(B55:F55)-H55,2)</f>
        <v>0</v>
      </c>
    </row>
    <row r="56" customFormat="false" ht="15" hidden="false" customHeight="false" outlineLevel="0" collapsed="false">
      <c r="A56" s="21" t="n">
        <v>46233</v>
      </c>
      <c r="B56" s="15" t="n">
        <v>312469.47</v>
      </c>
      <c r="C56" s="15" t="n">
        <v>-26959.97</v>
      </c>
      <c r="D56" s="15" t="n">
        <v>0</v>
      </c>
      <c r="E56" s="15" t="n">
        <v>0</v>
      </c>
      <c r="F56" s="15" t="n">
        <v>0</v>
      </c>
      <c r="G56" s="21" t="n">
        <v>46234</v>
      </c>
      <c r="H56" s="15" t="n">
        <v>285509.5</v>
      </c>
      <c r="I56" s="15" t="n">
        <f aca="false">ROUND(SUM(B56:F56)-H56,2)</f>
        <v>0</v>
      </c>
    </row>
    <row r="57" customFormat="false" ht="15" hidden="false" customHeight="false" outlineLevel="0" collapsed="false">
      <c r="A57" s="21" t="n">
        <v>46234</v>
      </c>
      <c r="B57" s="15" t="n">
        <v>6679.24</v>
      </c>
      <c r="C57" s="15" t="n">
        <v>-2466.5</v>
      </c>
      <c r="D57" s="15" t="n">
        <v>0</v>
      </c>
      <c r="E57" s="15" t="n">
        <v>0</v>
      </c>
      <c r="F57" s="15" t="n">
        <v>0</v>
      </c>
      <c r="G57" s="21" t="n">
        <v>46234</v>
      </c>
      <c r="H57" s="15" t="n">
        <v>4212.74</v>
      </c>
      <c r="I57" s="15" t="n">
        <f aca="false">ROUND(SUM(B57:F57)-H57,2)</f>
        <v>0</v>
      </c>
    </row>
    <row r="58" customFormat="false" ht="15" hidden="false" customHeight="false" outlineLevel="0" collapsed="false">
      <c r="A58" s="22" t="s">
        <v>250</v>
      </c>
      <c r="B58" s="23" t="n">
        <v>8980209.18</v>
      </c>
      <c r="C58" s="23" t="n">
        <v>-1678631.31</v>
      </c>
      <c r="D58" s="23" t="n">
        <v>-1213.82</v>
      </c>
      <c r="E58" s="23" t="n">
        <v>0</v>
      </c>
      <c r="F58" s="23" t="n">
        <v>-163012.13</v>
      </c>
      <c r="H58" s="23" t="n">
        <v>7137351.92</v>
      </c>
    </row>
    <row r="59" customFormat="false" ht="15" hidden="false" customHeight="false" outlineLevel="0" collapsed="false">
      <c r="A59" s="22" t="s">
        <v>251</v>
      </c>
      <c r="B59" s="23" t="n">
        <f aca="false">SUM(B4:B57)</f>
        <v>8980209.18</v>
      </c>
      <c r="C59" s="23" t="n">
        <f aca="false">SUM(C4:C57)</f>
        <v>-1678631.31</v>
      </c>
      <c r="D59" s="23" t="n">
        <f aca="false">SUM(D4:D57)</f>
        <v>-1213.82</v>
      </c>
      <c r="E59" s="23" t="n">
        <f aca="false">SUM(E4:E57)</f>
        <v>0</v>
      </c>
      <c r="F59" s="23" t="n">
        <f aca="false">SUM(F4:F57)</f>
        <v>-163012.13</v>
      </c>
      <c r="H59" s="23" t="n">
        <f aca="false">SUM(H4:H57)</f>
        <v>7137351.92</v>
      </c>
    </row>
    <row r="60" customFormat="false" ht="15" hidden="false" customHeight="false" outlineLevel="0" collapsed="false">
      <c r="A60" s="22" t="s">
        <v>75</v>
      </c>
      <c r="B60" s="23" t="n">
        <f aca="false">ROUND(B59-B58,2)</f>
        <v>0</v>
      </c>
      <c r="C60" s="23" t="n">
        <f aca="false">ROUND(C59-C58,2)</f>
        <v>0</v>
      </c>
      <c r="D60" s="23" t="n">
        <f aca="false">ROUND(D59-D58,2)</f>
        <v>0</v>
      </c>
      <c r="E60" s="23" t="n">
        <f aca="false">ROUND(E59-E58,2)</f>
        <v>0</v>
      </c>
      <c r="F60" s="23" t="n">
        <f aca="false">ROUND(F59-F58,2)</f>
        <v>0</v>
      </c>
      <c r="H60" s="23" t="n">
        <f aca="false">ROUND(H59-H58,2)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dimension ref="A1:E45"/>
  <sheetViews>
    <sheetView showGridLines="false" workbookViewId="0"/>
  </sheetViews>
  <sheetFormatPr defaultRowHeight="15"/>
  <cols>
    <col min="1" max="1" width="62" customWidth="1"/>
    <col min="2" max="2" width="16" customWidth="1"/>
    <col min="3" max="3" width="16" customWidth="1"/>
    <col min="4" max="4" width="16" customWidth="1"/>
    <col min="5" max="5" width="16" customWidth="1"/>
  </cols>
  <sheetData>
    <row r="1">
      <c r="A1" s="1" t="inlineStr">
        <is>
          <t xml:space="preserve">Cost summary: effective rate, pass-through and processor fees</t>
        </is>
      </c>
    </row>
    <row r="2">
      <c r="A2" s="8" t="inlineStr">
        <is>
          <t xml:space="preserve">Fees are shown here as positive costs. Every value is a live formula on the Summary, CardType, FeeSummary and FeeDetail sheets.</t>
        </is>
      </c>
    </row>
    <row r="4">
      <c r="A4" s="6" t="inlineStr">
        <is>
          <t xml:space="preserve">Volume</t>
        </is>
      </c>
      <c r="B4" s="6"/>
      <c r="C4" s="6"/>
      <c r="D4" s="6"/>
      <c r="E4" s="6"/>
    </row>
    <row r="5">
      <c r="A5" s="2" t="inlineStr">
        <is>
          <t xml:space="preserve">Gross sales</t>
        </is>
      </c>
      <c r="B5" s="11">
        <f>CardType!D9</f>
        <v>9228078.18</v>
      </c>
    </row>
    <row r="6">
      <c r="A6" s="2" t="inlineStr">
        <is>
          <t xml:space="preserve">Refunds</t>
        </is>
      </c>
      <c r="B6" s="11">
        <f>CardType!F9</f>
        <v>-247869.0</v>
      </c>
    </row>
    <row r="7">
      <c r="A7" s="2" t="inlineStr">
        <is>
          <t xml:space="preserve">Amount submitted (net)</t>
        </is>
      </c>
      <c r="B7" s="11">
        <f>Summary!B16</f>
        <v>8980209.18</v>
      </c>
    </row>
    <row r="8">
      <c r="A8" s="2" t="inlineStr">
        <is>
          <t xml:space="preserve">Transactions (sales + refunds)</t>
        </is>
      </c>
      <c r="B8" s="10">
        <f>CardType!G9</f>
        <v>11113.0</v>
      </c>
    </row>
    <row r="9">
      <c r="A9" s="2" t="inlineStr">
        <is>
          <t xml:space="preserve">Average ticket</t>
        </is>
      </c>
      <c r="B9" s="11">
        <f>Summary!B27</f>
        <v>808.08</v>
      </c>
    </row>
    <row r="10">
      <c r="A10" s="2" t="inlineStr">
        <is>
          <t xml:space="preserve">Refund rate (refunds / gross sales)</t>
        </is>
      </c>
      <c r="B10" s="12">
        <f>-CardType!F9/CardType!D9</f>
        <v>0.026860305598321234</v>
      </c>
    </row>
    <row r="12">
      <c r="A12" s="6" t="inlineStr">
        <is>
          <t xml:space="preserve">Cost</t>
        </is>
      </c>
      <c r="B12" s="6"/>
      <c r="C12" s="6"/>
      <c r="D12" s="6"/>
      <c r="E12" s="6"/>
    </row>
    <row r="13">
      <c r="A13" s="2" t="inlineStr">
        <is>
          <t xml:space="preserve">Total fees</t>
        </is>
      </c>
      <c r="B13" s="11">
        <f>-Summary!B20</f>
        <v>170258.04</v>
      </c>
    </row>
    <row r="14">
      <c r="A14" s="2" t="inlineStr">
        <is>
          <t xml:space="preserve">Effective rate (total fees / amount submitted)</t>
        </is>
      </c>
      <c r="B14" s="12">
        <f>B13/B7</f>
        <v>0.018959251013794316</v>
      </c>
    </row>
    <row r="15">
      <c r="A15" s="2" t="inlineStr">
        <is>
          <t xml:space="preserve">Amount submitted excluding AMEX</t>
        </is>
      </c>
      <c r="B15" s="11">
        <f>B7-CardType!H7</f>
        <v>7301577.869999999</v>
      </c>
      <c r="C15" s="8" t="inlineStr">
        <is>
          <t xml:space="preserve">AMEX is funded and priced directly by American Express (Paid by Others)</t>
        </is>
      </c>
    </row>
    <row r="16">
      <c r="A16" s="2" t="inlineStr">
        <is>
          <t xml:space="preserve">Fees excluding AMEX</t>
        </is>
      </c>
      <c r="B16" s="11">
        <f>B13+FeeSummary!D8</f>
        <v>170088.04</v>
      </c>
      <c r="C16" s="8" t="inlineStr">
        <is>
          <t xml:space="preserve">Only $170.00 of AMEX-related processor fees appear on this statement</t>
        </is>
      </c>
    </row>
    <row r="17">
      <c r="A17" s="2" t="inlineStr">
        <is>
          <t xml:space="preserve">Effective rate excluding AMEX</t>
        </is>
      </c>
      <c r="B17" s="12">
        <f>B16/B15</f>
        <v>0.023294696437990606</v>
      </c>
    </row>
    <row r="18">
      <c r="A18" s="2" t="inlineStr">
        <is>
          <t xml:space="preserve">Pass-through: interchange + card-brand assessments (IC/PF)</t>
        </is>
      </c>
      <c r="B18" s="11">
        <f>-FeeSummary!H6</f>
        <v>146436.8</v>
      </c>
      <c r="C18" s="8" t="inlineStr">
        <is>
          <t xml:space="preserve">Includes $9,965.45 of assessments/network fees and $3,863.23 of debit interchange (see FeeSummary)</t>
        </is>
      </c>
    </row>
    <row r="19">
      <c r="A19" s="2" t="inlineStr">
        <is>
          <t xml:space="preserve">Pass-through share of total fees</t>
        </is>
      </c>
      <c r="B19" s="12">
        <f>B18/B13</f>
        <v>0.8600874296450257</v>
      </c>
    </row>
    <row r="20">
      <c r="A20" s="2" t="inlineStr">
        <is>
          <t xml:space="preserve">Processor fees + service charges (markup)</t>
        </is>
      </c>
      <c r="B20" s="11">
        <f>-(FeeSummary!H5+FeeSummary!H7)</f>
        <v>23821.239999999998</v>
      </c>
    </row>
    <row r="21">
      <c r="A21" s="2" t="inlineStr">
        <is>
          <t xml:space="preserve">Markup share of total fees</t>
        </is>
      </c>
      <c r="B21" s="12">
        <f>B20/B13</f>
        <v>0.13991257035497412</v>
      </c>
    </row>
    <row r="22">
      <c r="A22" s="2" t="inlineStr">
        <is>
          <t xml:space="preserve">Markup as % of volume excluding AMEX</t>
        </is>
      </c>
      <c r="B22" s="12">
        <f>B20/B15</f>
        <v>0.0032624783881131164</v>
      </c>
    </row>
    <row r="24">
      <c r="A24" s="6" t="inlineStr">
        <is>
          <t xml:space="preserve">Effective rate by card brand</t>
        </is>
      </c>
      <c r="B24" s="6"/>
      <c r="C24" s="6"/>
      <c r="D24" s="6"/>
      <c r="E24" s="6"/>
    </row>
    <row r="25">
      <c r="A25" s="27" t="inlineStr">
        <is>
          <t xml:space="preserve">Card brand</t>
        </is>
      </c>
      <c r="B25" s="27" t="inlineStr">
        <is>
          <t xml:space="preserve">Fees</t>
        </is>
      </c>
      <c r="C25" s="27" t="inlineStr">
        <is>
          <t xml:space="preserve">Net volume</t>
        </is>
      </c>
      <c r="D25" s="27" t="inlineStr">
        <is>
          <t xml:space="preserve">Effective rate</t>
        </is>
      </c>
      <c r="E25" s="27" t="inlineStr">
        <is>
          <t xml:space="preserve">Note</t>
        </is>
      </c>
    </row>
    <row r="26">
      <c r="A26" s="4" t="inlineStr">
        <is>
          <t xml:space="preserve">Visa</t>
        </is>
      </c>
      <c r="B26" s="11">
        <f>-FeeSummary!B8</f>
        <v>86045.46</v>
      </c>
      <c r="C26" s="11">
        <f>CardType!H5</f>
        <v>4176165.36</v>
      </c>
      <c r="D26" s="12">
        <f>B26/C26</f>
        <v>0.02060393987847263</v>
      </c>
    </row>
    <row r="27">
      <c r="A27" s="4" t="inlineStr">
        <is>
          <t xml:space="preserve">Mastercard</t>
        </is>
      </c>
      <c r="B27" s="11">
        <f>-FeeSummary!C8</f>
        <v>66487.73</v>
      </c>
      <c r="C27" s="11">
        <f>CardType!H4</f>
        <v>2580893.99</v>
      </c>
      <c r="D27" s="12">
        <f>B27/C27</f>
        <v>0.025761511421087076</v>
      </c>
    </row>
    <row r="28">
      <c r="A28" s="4" t="inlineStr">
        <is>
          <t xml:space="preserve">Discover</t>
        </is>
      </c>
      <c r="B28" s="11">
        <f>-FeeSummary!E8</f>
        <v>3608.57</v>
      </c>
      <c r="C28" s="11">
        <f>CardType!H6</f>
        <v>151718.17</v>
      </c>
      <c r="D28" s="12">
        <f>B28/C28</f>
        <v>0.023784692367433642</v>
      </c>
    </row>
    <row r="29">
      <c r="A29" s="4" t="inlineStr">
        <is>
          <t xml:space="preserve">Debit (PIN networks)</t>
        </is>
      </c>
      <c r="B29" s="11">
        <f>-FeeSummary!F8</f>
        <v>3898.1</v>
      </c>
      <c r="C29" s="11">
        <f>CardType!H8</f>
        <v>392800.35</v>
      </c>
      <c r="D29" s="12">
        <f>B29/C29</f>
        <v>0.009923870994514134</v>
      </c>
      <c r="E29" s="8" t="inlineStr">
        <is>
          <t xml:space="preserve">Visa / Mastercard / Discover debit cards sit in their brand rows</t>
        </is>
      </c>
    </row>
    <row r="30">
      <c r="A30" s="4" t="inlineStr">
        <is>
          <t xml:space="preserve">American Express</t>
        </is>
      </c>
      <c r="B30" s="11">
        <f>-FeeSummary!D8</f>
        <v>170.0</v>
      </c>
      <c r="C30" s="11">
        <f>CardType!H7</f>
        <v>1678631.31</v>
      </c>
      <c r="D30" s="12">
        <f>B30/C30</f>
        <v>0.00010127298292797839</v>
      </c>
      <c r="E30" s="8" t="inlineStr">
        <is>
          <t xml:space="preserve">AMEX discount is billed by American Express, not on this statement</t>
        </is>
      </c>
    </row>
    <row r="31">
      <c r="A31" s="4" t="inlineStr">
        <is>
          <t xml:space="preserve">Others (account-level, no brand)</t>
        </is>
      </c>
      <c r="B31" s="11">
        <f>-FeeSummary!G8</f>
        <v>10048.18</v>
      </c>
      <c r="E31" s="8" t="inlineStr">
        <is>
          <t xml:space="preserve">e.g. ANNUAL COMPLIANCE SVC FEE; counted in the total rate, not in any brand rate</t>
        </is>
      </c>
    </row>
    <row r="32">
      <c r="A32" s="2" t="inlineStr">
        <is>
          <t xml:space="preserve">Total</t>
        </is>
      </c>
      <c r="B32" s="26">
        <f>SUM(B26:B31)</f>
        <v>170258.04</v>
      </c>
      <c r="C32" s="26">
        <f>SUM(C26:C30)</f>
        <v>8980209.18</v>
      </c>
      <c r="D32" s="12">
        <f>B32/C32</f>
        <v>0.018959251013794316</v>
      </c>
    </row>
    <row r="34">
      <c r="A34" s="6" t="inlineStr">
        <is>
          <t xml:space="preserve">Largest individual fee lines (excluding IC/PF)</t>
        </is>
      </c>
      <c r="B34" s="6"/>
      <c r="C34" s="6"/>
      <c r="D34" s="6"/>
      <c r="E34" s="6"/>
    </row>
    <row r="35">
      <c r="A35" s="27" t="inlineStr">
        <is>
          <t xml:space="preserve">Description (FeeDetail)</t>
        </is>
      </c>
      <c r="B35" s="27" t="inlineStr">
        <is>
          <t xml:space="preserve">Amount</t>
        </is>
      </c>
      <c r="C35" s="27" t="inlineStr">
        <is>
          <t xml:space="preserve">Product</t>
        </is>
      </c>
      <c r="D35" s="27" t="inlineStr">
        <is>
          <t xml:space="preserve">Type</t>
        </is>
      </c>
      <c r="E35" s="27" t="inlineStr">
        <is>
          <t xml:space="preserve">FeeDetail row</t>
        </is>
      </c>
    </row>
    <row r="36">
      <c r="A36" s="4" t="str">
        <f>FeeDetail!D10</f>
        <v>ANNUAL COMPLIANCE SVC FEE</v>
      </c>
      <c r="B36" s="11">
        <f>-FeeDetail!F10</f>
        <v>6899.77</v>
      </c>
      <c r="C36" s="4" t="str">
        <f>FeeDetail!C10</f>
        <v>Miscellaneous</v>
      </c>
      <c r="D36" s="4" t="str">
        <f>FeeDetail!E10</f>
        <v>Fees</v>
      </c>
      <c r="E36" s="10">
        <v>10</v>
      </c>
    </row>
    <row r="37">
      <c r="A37" s="4" t="str">
        <f>FeeDetail!D195</f>
        <v>VISA SALES DISCOUNT 0.0015 DISC RATE TIMES $2482035.50</v>
      </c>
      <c r="B37" s="11">
        <f>-FeeDetail!F195</f>
        <v>3723.04</v>
      </c>
      <c r="C37" s="4" t="str">
        <f>FeeDetail!C195</f>
        <v>Visa</v>
      </c>
      <c r="D37" s="4" t="str">
        <f>FeeDetail!E195</f>
        <v>Service Charges</v>
      </c>
      <c r="E37" s="10">
        <v>195</v>
      </c>
    </row>
    <row r="38">
      <c r="A38" s="4" t="str">
        <f>FeeDetail!D138</f>
        <v>MASTERCARD SALES DISCOUNT 0.0015 DISC RATE TIMES $2051547.43</v>
      </c>
      <c r="B38" s="11">
        <f>-FeeDetail!F138</f>
        <v>3077.31</v>
      </c>
      <c r="C38" s="4" t="str">
        <f>FeeDetail!C138</f>
        <v>Mastercard</v>
      </c>
      <c r="D38" s="4" t="str">
        <f>FeeDetail!E138</f>
        <v>Service Charges</v>
      </c>
      <c r="E38" s="10">
        <v>138</v>
      </c>
    </row>
    <row r="39">
      <c r="A39" s="4" t="str">
        <f>FeeDetail!D190</f>
        <v>VISA DEBIT SALES DISCOUNT 0.0015 DISC RATE TIMES $1826627.84</v>
      </c>
      <c r="B39" s="11">
        <f>-FeeDetail!F190</f>
        <v>2739.93</v>
      </c>
      <c r="C39" s="4" t="str">
        <f>FeeDetail!C190</f>
        <v>Visa</v>
      </c>
      <c r="D39" s="4" t="str">
        <f>FeeDetail!E190</f>
        <v>Service Charges</v>
      </c>
      <c r="E39" s="10">
        <v>190</v>
      </c>
    </row>
    <row r="40">
      <c r="A40" s="4" t="str">
        <f>FeeDetail!D21</f>
        <v>VISA NETWORK FEE CNP 2-09</v>
      </c>
      <c r="B40" s="11">
        <f>-FeeDetail!F21</f>
        <v>1000.01</v>
      </c>
      <c r="C40" s="4" t="str">
        <f>FeeDetail!C21</f>
        <v>Miscellaneous</v>
      </c>
      <c r="D40" s="4" t="str">
        <f>FeeDetail!E21</f>
        <v>Fees</v>
      </c>
      <c r="E40" s="10">
        <v>21</v>
      </c>
    </row>
    <row r="41">
      <c r="A41" s="4" t="str">
        <f>FeeDetail!D146</f>
        <v>MASTERCARD DEBIT SALES DISC 0.0015 DISC RATE TIMES $612749.80</v>
      </c>
      <c r="B41" s="11">
        <f>-FeeDetail!F146</f>
        <v>919.11</v>
      </c>
      <c r="C41" s="4" t="str">
        <f>FeeDetail!C146</f>
        <v>Mastercard</v>
      </c>
      <c r="D41" s="4" t="str">
        <f>FeeDetail!E146</f>
        <v>Service Charges</v>
      </c>
      <c r="E41" s="10">
        <v>146</v>
      </c>
    </row>
    <row r="42">
      <c r="A42" s="4" t="str">
        <f>FeeDetail!D122</f>
        <v>CARDPOINTE PLATFORM FEE</v>
      </c>
      <c r="B42" s="11">
        <f>-FeeDetail!F122</f>
        <v>803.85</v>
      </c>
      <c r="C42" s="4" t="str">
        <f>FeeDetail!C122</f>
        <v>Miscellaneous</v>
      </c>
      <c r="D42" s="4" t="str">
        <f>FeeDetail!E122</f>
        <v>Service Charges</v>
      </c>
      <c r="E42" s="10">
        <v>122</v>
      </c>
    </row>
    <row r="43">
      <c r="A43" s="4" t="str">
        <f>FeeDetail!D251</f>
        <v>VISA AUTH FEE 5581 TRANSACTIONS AT 0.1</v>
      </c>
      <c r="B43" s="11">
        <f>-FeeDetail!F251</f>
        <v>558.1</v>
      </c>
      <c r="C43" s="4" t="str">
        <f>FeeDetail!C251</f>
        <v>Visa</v>
      </c>
      <c r="D43" s="4" t="str">
        <f>FeeDetail!E251</f>
        <v>Fees</v>
      </c>
      <c r="E43" s="10">
        <v>251</v>
      </c>
    </row>
    <row r="44">
      <c r="A44" s="4" t="str">
        <f>FeeDetail!D125</f>
        <v>AVS WATS AUTHORIZATION FEE 10826 TRANSACTIONS AT 0.05</v>
      </c>
      <c r="B44" s="11">
        <f>-FeeDetail!F125</f>
        <v>541.3</v>
      </c>
      <c r="C44" s="4" t="str">
        <f>FeeDetail!C125</f>
        <v>Miscellaneous</v>
      </c>
      <c r="D44" s="4" t="str">
        <f>FeeDetail!E125</f>
        <v>Fees</v>
      </c>
      <c r="E44" s="10">
        <v>125</v>
      </c>
    </row>
    <row r="45">
      <c r="A45" s="4" t="str">
        <f>FeeDetail!D140</f>
        <v>MASTERCARD AUTH FEE 3559 TRANSACTIONS AT 0.1</v>
      </c>
      <c r="B45" s="11">
        <f>-FeeDetail!F140</f>
        <v>355.9</v>
      </c>
      <c r="C45" s="4" t="str">
        <f>FeeDetail!C140</f>
        <v>Mastercard</v>
      </c>
      <c r="D45" s="4" t="str">
        <f>FeeDetail!E140</f>
        <v>Fees</v>
      </c>
      <c r="E45" s="10">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2026-09-24T17:19:17Z</dcterms:created>
  <dc:creator>openpyxl</dc:creator>
  <dc:description/>
  <dc:language>en-US</dc:language>
  <cp:lastModifiedBy/>
  <dcterms:modified xsi:type="dcterms:W3CDTF">2026-09-24T17:19:17Z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