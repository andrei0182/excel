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ki\Desktop\Macro-N\"/>
    </mc:Choice>
  </mc:AlternateContent>
  <xr:revisionPtr revIDLastSave="0" documentId="13_ncr:1_{6E3A9203-16BC-4831-B821-524F6A7B0E01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Main" sheetId="1" r:id="rId1"/>
    <sheet name="Normaliz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4" i="1" l="1"/>
  <c r="H71" i="2"/>
  <c r="H70" i="2"/>
  <c r="H69" i="2"/>
  <c r="H68" i="2"/>
  <c r="H67" i="2"/>
  <c r="H64" i="2"/>
  <c r="H63" i="2"/>
  <c r="H62" i="2"/>
  <c r="H61" i="2"/>
  <c r="H60" i="2"/>
  <c r="H57" i="2"/>
  <c r="H56" i="2"/>
  <c r="H55" i="2"/>
  <c r="H52" i="2"/>
  <c r="H49" i="2"/>
  <c r="H48" i="2"/>
  <c r="H46" i="2"/>
  <c r="H43" i="2"/>
  <c r="H38" i="2"/>
  <c r="H37" i="2"/>
  <c r="H36" i="2"/>
  <c r="H35" i="2"/>
  <c r="H34" i="2"/>
  <c r="H33" i="2"/>
  <c r="H32" i="2"/>
  <c r="H31" i="2"/>
  <c r="H30" i="2"/>
  <c r="H29" i="2"/>
  <c r="H28" i="2"/>
  <c r="H25" i="2"/>
  <c r="H24" i="2"/>
  <c r="H23" i="2"/>
  <c r="H21" i="2"/>
  <c r="H20" i="2"/>
  <c r="H19" i="2"/>
  <c r="H17" i="2"/>
  <c r="H16" i="2"/>
  <c r="H15" i="2"/>
  <c r="H13" i="2"/>
  <c r="H12" i="2"/>
  <c r="H11" i="2"/>
  <c r="H9" i="2"/>
  <c r="H8" i="2"/>
  <c r="H7" i="2"/>
  <c r="K215" i="1"/>
  <c r="K214" i="1"/>
  <c r="K213" i="1"/>
  <c r="K212" i="1"/>
  <c r="K211" i="1"/>
  <c r="I210" i="1"/>
  <c r="K208" i="1"/>
  <c r="K207" i="1"/>
  <c r="K206" i="1"/>
  <c r="K205" i="1"/>
  <c r="K204" i="1"/>
  <c r="I203" i="1"/>
  <c r="K201" i="1"/>
  <c r="K200" i="1"/>
  <c r="K199" i="1"/>
  <c r="I198" i="1"/>
  <c r="K195" i="1"/>
  <c r="K194" i="1"/>
  <c r="K193" i="1"/>
  <c r="K192" i="1"/>
  <c r="K190" i="1"/>
  <c r="K189" i="1"/>
  <c r="K188" i="1"/>
  <c r="K187" i="1"/>
  <c r="I186" i="1"/>
  <c r="I179" i="1" s="1"/>
  <c r="I18" i="1" s="1"/>
  <c r="K184" i="1"/>
  <c r="K183" i="1"/>
  <c r="K182" i="1"/>
  <c r="K181" i="1"/>
  <c r="I180" i="1"/>
  <c r="K177" i="1"/>
  <c r="K176" i="1"/>
  <c r="K175" i="1"/>
  <c r="K174" i="1"/>
  <c r="K173" i="1"/>
  <c r="I172" i="1"/>
  <c r="I16" i="1" s="1"/>
  <c r="K170" i="1"/>
  <c r="K169" i="1"/>
  <c r="K168" i="1"/>
  <c r="K166" i="1"/>
  <c r="I165" i="1"/>
  <c r="I14" i="1" s="1"/>
  <c r="K163" i="1"/>
  <c r="I160" i="1"/>
  <c r="K157" i="1"/>
  <c r="K156" i="1"/>
  <c r="K155" i="1"/>
  <c r="K154" i="1"/>
  <c r="I153" i="1"/>
  <c r="K152" i="1"/>
  <c r="K151" i="1"/>
  <c r="I150" i="1"/>
  <c r="K149" i="1"/>
  <c r="K148" i="1"/>
  <c r="K147" i="1"/>
  <c r="K146" i="1"/>
  <c r="K145" i="1"/>
  <c r="K144" i="1"/>
  <c r="K143" i="1"/>
  <c r="K142" i="1"/>
  <c r="I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P127" i="1"/>
  <c r="I161" i="1" s="1"/>
  <c r="K127" i="1"/>
  <c r="K126" i="1"/>
  <c r="K125" i="1"/>
  <c r="K124" i="1"/>
  <c r="K123" i="1"/>
  <c r="I122" i="1"/>
  <c r="I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I102" i="1"/>
  <c r="K101" i="1"/>
  <c r="K100" i="1"/>
  <c r="K99" i="1"/>
  <c r="K98" i="1"/>
  <c r="K97" i="1"/>
  <c r="K96" i="1"/>
  <c r="I95" i="1"/>
  <c r="I94" i="1" s="1"/>
  <c r="K92" i="1"/>
  <c r="K91" i="1"/>
  <c r="I91" i="1"/>
  <c r="I89" i="1" s="1"/>
  <c r="K90" i="1"/>
  <c r="I90" i="1"/>
  <c r="K87" i="1"/>
  <c r="K86" i="1"/>
  <c r="K85" i="1"/>
  <c r="I84" i="1"/>
  <c r="K82" i="1"/>
  <c r="K81" i="1"/>
  <c r="K80" i="1"/>
  <c r="K79" i="1"/>
  <c r="I78" i="1"/>
  <c r="K74" i="1"/>
  <c r="K73" i="1"/>
  <c r="K72" i="1"/>
  <c r="K71" i="1"/>
  <c r="K70" i="1"/>
  <c r="K69" i="1"/>
  <c r="K68" i="1"/>
  <c r="I67" i="1"/>
  <c r="K65" i="1"/>
  <c r="K64" i="1"/>
  <c r="K63" i="1"/>
  <c r="K62" i="1"/>
  <c r="K61" i="1"/>
  <c r="K60" i="1"/>
  <c r="K59" i="1"/>
  <c r="K58" i="1"/>
  <c r="K57" i="1"/>
  <c r="K56" i="1"/>
  <c r="K55" i="1"/>
  <c r="K52" i="1"/>
  <c r="K51" i="1"/>
  <c r="K50" i="1"/>
  <c r="I49" i="1"/>
  <c r="K48" i="1"/>
  <c r="K47" i="1"/>
  <c r="K46" i="1"/>
  <c r="I45" i="1"/>
  <c r="K44" i="1"/>
  <c r="K43" i="1"/>
  <c r="P42" i="1"/>
  <c r="K42" i="1"/>
  <c r="I41" i="1"/>
  <c r="K40" i="1"/>
  <c r="K39" i="1"/>
  <c r="K38" i="1"/>
  <c r="I37" i="1"/>
  <c r="K36" i="1"/>
  <c r="K35" i="1"/>
  <c r="K34" i="1"/>
  <c r="I33" i="1"/>
  <c r="I32" i="1" s="1"/>
  <c r="C22" i="1"/>
  <c r="C18" i="1"/>
  <c r="C16" i="1"/>
  <c r="C14" i="1"/>
  <c r="C12" i="1"/>
  <c r="C10" i="1"/>
  <c r="I197" i="1" l="1"/>
  <c r="I22" i="1" s="1"/>
  <c r="I30" i="1"/>
  <c r="I8" i="1" s="1"/>
  <c r="I76" i="1"/>
  <c r="I10" i="1" l="1"/>
  <c r="I162" i="1"/>
  <c r="I159" i="1" s="1"/>
  <c r="I12" i="1" s="1"/>
  <c r="I6" i="1" l="1"/>
</calcChain>
</file>

<file path=xl/sharedStrings.xml><?xml version="1.0" encoding="utf-8"?>
<sst xmlns="http://schemas.openxmlformats.org/spreadsheetml/2006/main" count="785" uniqueCount="395">
  <si>
    <t>Ver.#1</t>
  </si>
  <si>
    <t>אביזרי פרזול, ידיות ומנעולים</t>
  </si>
  <si>
    <t>חברות פעילות בתחום</t>
  </si>
  <si>
    <t>מוצרים</t>
  </si>
  <si>
    <t>החברה</t>
  </si>
  <si>
    <t>________</t>
  </si>
  <si>
    <t xml:space="preserve">מתוך </t>
  </si>
  <si>
    <t>חברות במערכת</t>
  </si>
  <si>
    <t>Website &amp; Service improvement Guide</t>
  </si>
  <si>
    <t>ככל ששטח המצולע גדול
יותר - החברה איכותית יותר. 
להגדלת התרשים - עמדו עליו:</t>
  </si>
  <si>
    <t>המלצות לשיפור האתר, השירות והמותג
מהות ההמלצות לעדכון הפרמטרים הינה מקסימיזציה יחסית בהשוואה למיטבי מבין כלל אתרי תחום הפעילות ובכך לשדרג את מיקום האתר בדירוג הרייטינג הכולל והיחסי שלו</t>
  </si>
  <si>
    <t>דירוג הרייטינג היחסי הכולל</t>
  </si>
  <si>
    <t xml:space="preserve"> &gt;</t>
  </si>
  <si>
    <t>ככל שהדירוגים בעמודה גבוהים יותר - החברה איכותית יותר</t>
  </si>
  <si>
    <t>מדדים תעריפיים</t>
  </si>
  <si>
    <t>מדדים תעריפיים (כולל מע"מ)</t>
  </si>
  <si>
    <t xml:space="preserve">דירוג משוקלל מנורמל &gt;  </t>
  </si>
  <si>
    <t>1</t>
  </si>
  <si>
    <t>&lt;</t>
  </si>
  <si>
    <t>איזור סניף /ים</t>
  </si>
  <si>
    <t>כן=5 / לא=0</t>
  </si>
  <si>
    <t>מדגם מחירים (פריט שאינו נמכר, המחיר=999)</t>
  </si>
  <si>
    <t>&lt;&lt;</t>
  </si>
  <si>
    <t>צפון</t>
  </si>
  <si>
    <t>מתקני רשת</t>
  </si>
  <si>
    <t>הערות /הבהרות למשתנים</t>
  </si>
  <si>
    <t>חיפה והקריות</t>
  </si>
  <si>
    <t>1.1.1</t>
  </si>
  <si>
    <t>מספר דגמים שונים נמכרים וזמינים במלאי</t>
  </si>
  <si>
    <t>N</t>
  </si>
  <si>
    <t>שרון</t>
  </si>
  <si>
    <t>1.1.2</t>
  </si>
  <si>
    <t>מחיר מירבי - לא מבצע של הדגם הזול ביותר מבין דגמי המוצר</t>
  </si>
  <si>
    <t>NV</t>
  </si>
  <si>
    <t>מרכז</t>
  </si>
  <si>
    <t>1.1.3</t>
  </si>
  <si>
    <t>מחיר מירבי - לא מבצע של הדגם היקר ביותר מבין דגמי המוצר</t>
  </si>
  <si>
    <t>גוש דן</t>
  </si>
  <si>
    <t>מערכות הזזה</t>
  </si>
  <si>
    <t>ירושלים</t>
  </si>
  <si>
    <t>1.2.1</t>
  </si>
  <si>
    <t>איו"ש</t>
  </si>
  <si>
    <t>1.2.2</t>
  </si>
  <si>
    <t>שפלה</t>
  </si>
  <si>
    <t>1.2.3</t>
  </si>
  <si>
    <t>דרום</t>
  </si>
  <si>
    <t>ידיות דלת מעוצבות</t>
  </si>
  <si>
    <t>אילת</t>
  </si>
  <si>
    <t>1.3.1</t>
  </si>
  <si>
    <t>1.3.2</t>
  </si>
  <si>
    <t>1.3.3</t>
  </si>
  <si>
    <t>ידיות מגרה - משיכה</t>
  </si>
  <si>
    <t>1.4.1</t>
  </si>
  <si>
    <t>2</t>
  </si>
  <si>
    <t>1.4.2</t>
  </si>
  <si>
    <t>ישובי סניף /ים /שליחויות /שירות</t>
  </si>
  <si>
    <t>איזור</t>
  </si>
  <si>
    <t>1.4.3</t>
  </si>
  <si>
    <t>בית שאן</t>
  </si>
  <si>
    <t>מנעול מגירת משיכה</t>
  </si>
  <si>
    <t>טבריה</t>
  </si>
  <si>
    <t>1.5.1</t>
  </si>
  <si>
    <t>טירת כרמל</t>
  </si>
  <si>
    <t>1.5.2</t>
  </si>
  <si>
    <t>טמרה</t>
  </si>
  <si>
    <t>1.5.3</t>
  </si>
  <si>
    <t>יקנעם עילית</t>
  </si>
  <si>
    <t>כרמיאל</t>
  </si>
  <si>
    <t>מחירי שירות /משלוח (באיזור העדר שליחות, המחיר=999)</t>
  </si>
  <si>
    <t>מגדל העמק</t>
  </si>
  <si>
    <t>1.1</t>
  </si>
  <si>
    <t>דואר רשום</t>
  </si>
  <si>
    <t>מעלות- תרשיחא</t>
  </si>
  <si>
    <t>1.2</t>
  </si>
  <si>
    <t>נהריה</t>
  </si>
  <si>
    <t>1.3</t>
  </si>
  <si>
    <t>נוף הגליל</t>
  </si>
  <si>
    <t>1.4</t>
  </si>
  <si>
    <t>נצרת</t>
  </si>
  <si>
    <t>1.5</t>
  </si>
  <si>
    <t>נשר</t>
  </si>
  <si>
    <t>1.6</t>
  </si>
  <si>
    <t>גוש-דן</t>
  </si>
  <si>
    <t>סח'נין</t>
  </si>
  <si>
    <t>1.7</t>
  </si>
  <si>
    <t>עכו</t>
  </si>
  <si>
    <t>1.8</t>
  </si>
  <si>
    <t>עפולה</t>
  </si>
  <si>
    <t>1.9</t>
  </si>
  <si>
    <t>עראבה</t>
  </si>
  <si>
    <t>1.10</t>
  </si>
  <si>
    <t>צפת</t>
  </si>
  <si>
    <t>1.11</t>
  </si>
  <si>
    <t>שפרעם</t>
  </si>
  <si>
    <t>קריית שמונה</t>
  </si>
  <si>
    <t>אמצעי תשלום ואשראי זמינים</t>
  </si>
  <si>
    <t>חיפה</t>
  </si>
  <si>
    <t>העברות</t>
  </si>
  <si>
    <t>קריית אתא</t>
  </si>
  <si>
    <t>פייפאל</t>
  </si>
  <si>
    <t>קריית ביאליק</t>
  </si>
  <si>
    <t>אפליקציות תשלומים</t>
  </si>
  <si>
    <t>קריית ים</t>
  </si>
  <si>
    <t>ביטקוין</t>
  </si>
  <si>
    <t>קריית מוצקין</t>
  </si>
  <si>
    <t>כרטיסי אשראי</t>
  </si>
  <si>
    <t>הוד השרון</t>
  </si>
  <si>
    <t>כרטיסי חיוב ישיר</t>
  </si>
  <si>
    <t>אום אל-פחם</t>
  </si>
  <si>
    <t>פריסה ל- 12 תשלומים לפחות ללא ריבית בכל אמצעי התשלום</t>
  </si>
  <si>
    <t>אור עקיבא</t>
  </si>
  <si>
    <t>באקה אל-גרבייה</t>
  </si>
  <si>
    <t>ערכיות רב-שכבתית</t>
  </si>
  <si>
    <t>חדרה</t>
  </si>
  <si>
    <t>טייבה</t>
  </si>
  <si>
    <t>שקיפות וגילוי נאות</t>
  </si>
  <si>
    <t>טירה</t>
  </si>
  <si>
    <t>3</t>
  </si>
  <si>
    <t>מחירון מפורט מלא באתר לכל מוצר</t>
  </si>
  <si>
    <t>כפר יונה</t>
  </si>
  <si>
    <t>כל מוצר מלווה באתר בתמונה</t>
  </si>
  <si>
    <t>כפר סבא</t>
  </si>
  <si>
    <t>כל מוצר מלווה במפרט טכני מלא</t>
  </si>
  <si>
    <t>כפר קאסם</t>
  </si>
  <si>
    <t>כל המוצרים באתר מצויים במלאי</t>
  </si>
  <si>
    <t>נתניה</t>
  </si>
  <si>
    <t>קלנסווה</t>
  </si>
  <si>
    <t>שירות האונליין</t>
  </si>
  <si>
    <t>רעננה</t>
  </si>
  <si>
    <t>כולל את מלוא מוצרי הרשת שבמכירה פיזית</t>
  </si>
  <si>
    <t>אלעד</t>
  </si>
  <si>
    <t>מחיר הפריטים אינו עולה על המחיר ברשת הפיזית</t>
  </si>
  <si>
    <t>אור יהודה</t>
  </si>
  <si>
    <t>זמן אספקה מירבי מובטח של הזמנת שליחות (ימי עסקים)</t>
  </si>
  <si>
    <t>באר יעקב</t>
  </si>
  <si>
    <t>גבעת שמואל</t>
  </si>
  <si>
    <t>סניפים פיזיים (לצפיה ברשימת סניפי הרשת - הקליקו על שם החברה בראש העמודה)</t>
  </si>
  <si>
    <t>יהוד-מונוסון</t>
  </si>
  <si>
    <t>4</t>
  </si>
  <si>
    <t>2.1</t>
  </si>
  <si>
    <t>מספר מחוזות פריסה</t>
  </si>
  <si>
    <t>1-8</t>
  </si>
  <si>
    <t>פתח תקווה</t>
  </si>
  <si>
    <t>2.2</t>
  </si>
  <si>
    <t>מספר ישובי פריסה</t>
  </si>
  <si>
    <t>1-79</t>
  </si>
  <si>
    <t>קריית אונו</t>
  </si>
  <si>
    <t>2.3</t>
  </si>
  <si>
    <t>לכל הסניפים הפיזיים חניה זמינה וחופשית</t>
  </si>
  <si>
    <t>ראש העין</t>
  </si>
  <si>
    <t>רמת השרון</t>
  </si>
  <si>
    <t>מאפייני המוצרים והשירותים הנמכרים וזמינים במלאי</t>
  </si>
  <si>
    <t>&lt;&lt;&lt;</t>
  </si>
  <si>
    <t>בני ברק</t>
  </si>
  <si>
    <t>סוגי שירותים</t>
  </si>
  <si>
    <t>בת ים</t>
  </si>
  <si>
    <t>4.1.1</t>
  </si>
  <si>
    <t>עיצוב, תכנון וייצור על פי מפרט הלקוח</t>
  </si>
  <si>
    <t>גבעתיים</t>
  </si>
  <si>
    <t>4.1.2</t>
  </si>
  <si>
    <t>ייצור</t>
  </si>
  <si>
    <t>הרצליה</t>
  </si>
  <si>
    <t>4.1.3</t>
  </si>
  <si>
    <t>יבוא</t>
  </si>
  <si>
    <t>חולון</t>
  </si>
  <si>
    <t>5</t>
  </si>
  <si>
    <t>4.1.4</t>
  </si>
  <si>
    <t>מכירה</t>
  </si>
  <si>
    <t>רמת גן</t>
  </si>
  <si>
    <t>4.1.5</t>
  </si>
  <si>
    <t>מכירת אביזרי וכלי התקנה משלימים</t>
  </si>
  <si>
    <t>תל אביב-יפו</t>
  </si>
  <si>
    <t>4.1.6</t>
  </si>
  <si>
    <t>התקנה</t>
  </si>
  <si>
    <t>בית שמש</t>
  </si>
  <si>
    <t>ייעוד /סוג</t>
  </si>
  <si>
    <t>6</t>
  </si>
  <si>
    <t>4.2.1</t>
  </si>
  <si>
    <t>אביזרי תלייה</t>
  </si>
  <si>
    <t>אריאל</t>
  </si>
  <si>
    <t>4.2.2</t>
  </si>
  <si>
    <t>אריחי מתכת</t>
  </si>
  <si>
    <t>ביתר עילית</t>
  </si>
  <si>
    <t>7</t>
  </si>
  <si>
    <t>4.2.3</t>
  </si>
  <si>
    <t>דקורטיבי</t>
  </si>
  <si>
    <t>מודיעין עילית</t>
  </si>
  <si>
    <t>4.2.4</t>
  </si>
  <si>
    <t>זרועות ומתקני הרמה</t>
  </si>
  <si>
    <t>מעלה אדומים</t>
  </si>
  <si>
    <t>4.2.5</t>
  </si>
  <si>
    <t>לאמבטיה</t>
  </si>
  <si>
    <t>אשדוד</t>
  </si>
  <si>
    <t>4.2.6</t>
  </si>
  <si>
    <t>לארונות</t>
  </si>
  <si>
    <t>אשקלון</t>
  </si>
  <si>
    <t>4.2.7</t>
  </si>
  <si>
    <t>לבניין</t>
  </si>
  <si>
    <t>4.2.8</t>
  </si>
  <si>
    <t>לחדרי שירותים</t>
  </si>
  <si>
    <t>יבנה</t>
  </si>
  <si>
    <t>4.2.9</t>
  </si>
  <si>
    <t>לחלונות ודלתות</t>
  </si>
  <si>
    <t>לוד</t>
  </si>
  <si>
    <t>4.2.10</t>
  </si>
  <si>
    <t>למטבח</t>
  </si>
  <si>
    <t>מודיעין- מכבים- רעות</t>
  </si>
  <si>
    <t>8</t>
  </si>
  <si>
    <t>4.2.11</t>
  </si>
  <si>
    <t>לרהיטי תינוקות</t>
  </si>
  <si>
    <t>נס ציונה</t>
  </si>
  <si>
    <t>4.2.12</t>
  </si>
  <si>
    <t>לרהיטים</t>
  </si>
  <si>
    <t>קריית גת</t>
  </si>
  <si>
    <t>4.2.13</t>
  </si>
  <si>
    <t>מוטות וילונות</t>
  </si>
  <si>
    <t>קריית מלאכי</t>
  </si>
  <si>
    <t>4.2.14</t>
  </si>
  <si>
    <t>מוצרי בטיחות לילדים</t>
  </si>
  <si>
    <t>ראשון לציון</t>
  </si>
  <si>
    <t>4.2.15</t>
  </si>
  <si>
    <t>מתקני אחסון</t>
  </si>
  <si>
    <t>רחובות</t>
  </si>
  <si>
    <t>4.2.16</t>
  </si>
  <si>
    <t>פתרונות נעילה</t>
  </si>
  <si>
    <t>רמלה</t>
  </si>
  <si>
    <t>4.2.17</t>
  </si>
  <si>
    <t>קנטים</t>
  </si>
  <si>
    <t>אופקים</t>
  </si>
  <si>
    <t>4.2.18</t>
  </si>
  <si>
    <t>שבלונות ומכונות</t>
  </si>
  <si>
    <t>באר שבע</t>
  </si>
  <si>
    <t>אביזרי ומוצרי הפרזול הנמכרים וזמינים במלאי</t>
  </si>
  <si>
    <t>דימונה</t>
  </si>
  <si>
    <t>4.3.1</t>
  </si>
  <si>
    <t>אביזרים</t>
  </si>
  <si>
    <t>נתיבות</t>
  </si>
  <si>
    <t>9</t>
  </si>
  <si>
    <t>(1</t>
  </si>
  <si>
    <t>בולמי טריקה</t>
  </si>
  <si>
    <t>ערד</t>
  </si>
  <si>
    <t>(2</t>
  </si>
  <si>
    <t>בריחים</t>
  </si>
  <si>
    <t>רהט</t>
  </si>
  <si>
    <t>(3</t>
  </si>
  <si>
    <t>גלגלים</t>
  </si>
  <si>
    <t>שדרות</t>
  </si>
  <si>
    <t>(4</t>
  </si>
  <si>
    <t>זוויות</t>
  </si>
  <si>
    <t>10</t>
  </si>
  <si>
    <t>(5</t>
  </si>
  <si>
    <t>חבקים</t>
  </si>
  <si>
    <t>(6</t>
  </si>
  <si>
    <t>מחברים</t>
  </si>
  <si>
    <t>(7</t>
  </si>
  <si>
    <t>מסילות</t>
  </si>
  <si>
    <t>(8</t>
  </si>
  <si>
    <t>(9</t>
  </si>
  <si>
    <t>(10</t>
  </si>
  <si>
    <t>סטופרים</t>
  </si>
  <si>
    <t>(11</t>
  </si>
  <si>
    <t>עוגני מתכת</t>
  </si>
  <si>
    <t>(12</t>
  </si>
  <si>
    <t>פלומבות</t>
  </si>
  <si>
    <t>(13</t>
  </si>
  <si>
    <t>פסי גימור</t>
  </si>
  <si>
    <t>(14</t>
  </si>
  <si>
    <t>פעמונים</t>
  </si>
  <si>
    <t>(15</t>
  </si>
  <si>
    <t>פרופילי מתכת</t>
  </si>
  <si>
    <t>(16</t>
  </si>
  <si>
    <t>צירים</t>
  </si>
  <si>
    <t>(17</t>
  </si>
  <si>
    <t>רגליות</t>
  </si>
  <si>
    <t>(18</t>
  </si>
  <si>
    <t>ריתוקים</t>
  </si>
  <si>
    <t>4.3.2</t>
  </si>
  <si>
    <t>ידיות</t>
  </si>
  <si>
    <t>אלומיניום</t>
  </si>
  <si>
    <t>בהלה</t>
  </si>
  <si>
    <t>ביטחון</t>
  </si>
  <si>
    <t>ואקום</t>
  </si>
  <si>
    <t>מעוצבות</t>
  </si>
  <si>
    <t>משיכה</t>
  </si>
  <si>
    <t>פבלוק</t>
  </si>
  <si>
    <t>קבועות ניארוסטה</t>
  </si>
  <si>
    <t>4.3.3</t>
  </si>
  <si>
    <t>נעילה</t>
  </si>
  <si>
    <t>בריחי חלונות ודלתות</t>
  </si>
  <si>
    <t>מנעולים וצילינדרים</t>
  </si>
  <si>
    <t>4.3.4</t>
  </si>
  <si>
    <t>מוצרים משלימים</t>
  </si>
  <si>
    <t>ברגים, מסמרים, דיבלים</t>
  </si>
  <si>
    <t>ברזים</t>
  </si>
  <si>
    <t>דבקים וצבעים</t>
  </si>
  <si>
    <t>כלי עבודה להתקנה</t>
  </si>
  <si>
    <t>גודל ופריסה</t>
  </si>
  <si>
    <t xml:space="preserve">דירוג משוקלל  מנורמל &gt;  </t>
  </si>
  <si>
    <t>דירוג היקף הפעילות הארצית היחסית</t>
  </si>
  <si>
    <t>&gt;</t>
  </si>
  <si>
    <t>דירוג היקף ישובי הפעילות</t>
  </si>
  <si>
    <t>דירוג המגוון הכללי</t>
  </si>
  <si>
    <t>שנת תחילת הפעילות הרשמית של החברה בתחום</t>
  </si>
  <si>
    <t>רמת שירות וממשקים</t>
  </si>
  <si>
    <t>זמן תגובה לפניות בצור קשר /תמיכה של האתר (שעות)</t>
  </si>
  <si>
    <t>זמן המתנה ממוצע למענה טלפוני של המוקד</t>
  </si>
  <si>
    <t>בשעות הפעילות (דקות)</t>
  </si>
  <si>
    <t>מעבר לשעות הפעילות (דקות)</t>
  </si>
  <si>
    <t>באתר החברה שפת /ות ממשק בנוסף לעברית</t>
  </si>
  <si>
    <t>אמינות ושקיפות</t>
  </si>
  <si>
    <t>אמינות ודיוק בדיווח האתר למערכת "רייטינג"</t>
  </si>
  <si>
    <t>0-5</t>
  </si>
  <si>
    <t>דירוג שקיפות החברה והאתר</t>
  </si>
  <si>
    <t>קיום מחירון מלא ומפורט באתר האינטרנט</t>
  </si>
  <si>
    <t>מספר המדדים הנשאבים אוטומטית מהאתר</t>
  </si>
  <si>
    <t>המדיניות אינה מתירה ואין מבוצעת מחיקה /שינוי חוות דעת משתמשים</t>
  </si>
  <si>
    <t>סייבר ושמירת פרטיות</t>
  </si>
  <si>
    <t>שמירת פרטיות הגולשים</t>
  </si>
  <si>
    <t xml:space="preserve">דירוג משוקלל  &gt;  </t>
  </si>
  <si>
    <t>באתר אין כל תצוגה גלויה המאפשרת צפיה בפעילות כלשהי של הגולשים באתר</t>
  </si>
  <si>
    <t>אין באתר שידול גולשים לרכישת מוצר /שירות /שדרוג וכיוב'</t>
  </si>
  <si>
    <t>באתר וברשומותיו לא מבוצע ניתוח נתוני גולשים לשם דיוור /פרסום /מכירת מידע</t>
  </si>
  <si>
    <t>כל מידע אודות הגולשים אינו מועבר או נמכר לגורמים שלישיים</t>
  </si>
  <si>
    <t>אבטחת סייבר ומידע הגולשים</t>
  </si>
  <si>
    <t>החברה פועלת בהתאם ל'תורת הגנת מערך הסייבר, של מערך הסייבר הלאומי</t>
  </si>
  <si>
    <t>לחברה מנהל מידע שאינו בעל תפקיד אחר</t>
  </si>
  <si>
    <t>לאתר החברה תקן ISO 27001</t>
  </si>
  <si>
    <t xml:space="preserve">לאתר החברה תקן SOC 2 </t>
  </si>
  <si>
    <t>ססמאות משתמשים</t>
  </si>
  <si>
    <t>2.5.1</t>
  </si>
  <si>
    <t>קיום אימות דו שלבי</t>
  </si>
  <si>
    <t>2.5.2</t>
  </si>
  <si>
    <t>קיום מניעת הזנת הזנת ססמאות פשוטות</t>
  </si>
  <si>
    <t>2.5.3</t>
  </si>
  <si>
    <t>קיום חיוב תדיר להחלפת סיסמאות</t>
  </si>
  <si>
    <t>2.5.4</t>
  </si>
  <si>
    <t>קיום הגבלת מספר ניסיונות כניסה עם סיסמא שגויה</t>
  </si>
  <si>
    <t>נוכחות דיגיטלית</t>
  </si>
  <si>
    <t>ביצועי האתר - מהירות גלישה (ישראל)</t>
  </si>
  <si>
    <t>צבע תוכן ראשון (FCP) - שניות</t>
  </si>
  <si>
    <t>NVT</t>
  </si>
  <si>
    <t>שינוי פריסה מצטבר (CLS)</t>
  </si>
  <si>
    <t xml:space="preserve"> אינטראקציה לצביעה הבאה (INP) - מילישניות</t>
  </si>
  <si>
    <t>דירוג המקובלות ברשת</t>
  </si>
  <si>
    <t>פופולריות יחסית לתחום הפעילות (ישראל)</t>
  </si>
  <si>
    <t>מספר ביקורים חודשי - אלפים</t>
  </si>
  <si>
    <t>NT</t>
  </si>
  <si>
    <t>משך שהיה ממוצע באתר - דקות</t>
  </si>
  <si>
    <t>2.4</t>
  </si>
  <si>
    <t>קישורים נכנסים לאתר - Backlinks - אלפים</t>
  </si>
  <si>
    <t>2.5</t>
  </si>
  <si>
    <t>הפניות לאתר - Refferings - אלפים</t>
  </si>
  <si>
    <t>נוכחות בדיגיטל ובתקשורת</t>
  </si>
  <si>
    <t>3.1</t>
  </si>
  <si>
    <t>אזכורים ברשתות החברתיות - Engagements - אלפים</t>
  </si>
  <si>
    <t>3.2</t>
  </si>
  <si>
    <t>אזכורים בתקשורת - אלפים</t>
  </si>
  <si>
    <t>3.3</t>
  </si>
  <si>
    <t>מוניטין דיגיטלי - Digital Reputation - %</t>
  </si>
  <si>
    <t>3.4</t>
  </si>
  <si>
    <t>טרנדיות - Trends - %</t>
  </si>
  <si>
    <t>3.5</t>
  </si>
  <si>
    <t>ביקורות ודירוגים - Reviews - %</t>
  </si>
  <si>
    <t>שם + משפחה:</t>
  </si>
  <si>
    <t>אבג</t>
  </si>
  <si>
    <t>תאריך:</t>
  </si>
  <si>
    <t>dd/mm/yy</t>
  </si>
  <si>
    <t>דרערדער</t>
  </si>
  <si>
    <t>תפקיד:</t>
  </si>
  <si>
    <t>דהו</t>
  </si>
  <si>
    <t>שעה:</t>
  </si>
  <si>
    <t>tt:tt</t>
  </si>
  <si>
    <t>אימות נתוני האתר /החברה (במותגים: המותג)</t>
  </si>
  <si>
    <t>שם אתר /חברה (/מותג):</t>
  </si>
  <si>
    <t>כתובת אינטרנט:</t>
  </si>
  <si>
    <t>כתובת אימייל:</t>
  </si>
  <si>
    <t>שעות פתיחה (לסימון סגור /אין קבלת קהל - השעה: 00:00)</t>
  </si>
  <si>
    <t>כתובת צור קשר:</t>
  </si>
  <si>
    <t>א' עד ה'</t>
  </si>
  <si>
    <t>ו'</t>
  </si>
  <si>
    <t>שבת</t>
  </si>
  <si>
    <t>מספר טלפון:</t>
  </si>
  <si>
    <t>משעה</t>
  </si>
  <si>
    <t>עד שעה</t>
  </si>
  <si>
    <t>כתובת ראשית:</t>
  </si>
  <si>
    <t>רחוב</t>
  </si>
  <si>
    <t>מספר</t>
  </si>
  <si>
    <t>ישוב</t>
  </si>
  <si>
    <t>טלפון</t>
  </si>
  <si>
    <t>פרמטרים לנירמול</t>
  </si>
  <si>
    <t>MIN</t>
  </si>
  <si>
    <t>AVR</t>
  </si>
  <si>
    <t>MAX</t>
  </si>
  <si>
    <t>מאפייני המוצרים והשירותים</t>
  </si>
  <si>
    <t>2.2.3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</si>
</sst>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₪&quot;\ #,##0.00"/>
    <numFmt numFmtId="165" formatCode="#,##0.0"/>
    <numFmt numFmtId="166" formatCode="&quot;₪&quot;\ #,##0"/>
    <numFmt numFmtId="167" formatCode="[$-1010000]d/m/yy;@"/>
    <numFmt numFmtId="168" formatCode="[$-1000000]h:mm;@"/>
    <numFmt numFmtId="169" formatCode="0.0"/>
  </numFmts>
  <fonts count="76" x14ac:knownFonts="1">
    <font>
      <sz val="11"/>
      <color theme="1"/>
      <name val="Arial"/>
      <family val="2"/>
      <charset val="177"/>
      <scheme val="minor"/>
    </font>
    <font>
      <sz val="13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i/>
      <u/>
      <sz val="18"/>
      <color theme="1"/>
      <name val="Arial"/>
      <family val="2"/>
    </font>
    <font>
      <sz val="9"/>
      <color theme="1"/>
      <name val="Arial"/>
      <family val="2"/>
    </font>
    <font>
      <u/>
      <sz val="13"/>
      <color theme="1"/>
      <name val="Arial"/>
      <family val="2"/>
    </font>
    <font>
      <sz val="10"/>
      <color theme="1"/>
      <name val="Arial"/>
      <family val="2"/>
    </font>
    <font>
      <b/>
      <sz val="11"/>
      <color rgb="FF000099"/>
      <name val="Arial"/>
      <family val="2"/>
    </font>
    <font>
      <sz val="11"/>
      <color rgb="FF000099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i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  <charset val="177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8"/>
      <color theme="1"/>
      <name val="Arial"/>
      <family val="2"/>
    </font>
    <font>
      <b/>
      <i/>
      <sz val="18"/>
      <color theme="1"/>
      <name val="Arial"/>
      <family val="2"/>
    </font>
    <font>
      <sz val="12"/>
      <name val="Arial"/>
      <family val="2"/>
    </font>
    <font>
      <b/>
      <u/>
      <sz val="13"/>
      <color theme="1"/>
      <name val="Arial"/>
      <family val="2"/>
    </font>
    <font>
      <b/>
      <i/>
      <u/>
      <sz val="14"/>
      <color theme="1"/>
      <name val="Arial"/>
      <family val="2"/>
    </font>
    <font>
      <b/>
      <i/>
      <sz val="20"/>
      <color theme="0"/>
      <name val="Arial"/>
      <family val="2"/>
    </font>
    <font>
      <b/>
      <i/>
      <sz val="18"/>
      <color theme="0"/>
      <name val="Arial"/>
      <family val="2"/>
    </font>
    <font>
      <b/>
      <sz val="16"/>
      <color rgb="FF000099"/>
      <name val="Arial"/>
      <family val="2"/>
    </font>
    <font>
      <b/>
      <sz val="20"/>
      <color theme="1"/>
      <name val="Arial"/>
      <family val="2"/>
    </font>
    <font>
      <b/>
      <i/>
      <u/>
      <sz val="2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sz val="16"/>
      <color rgb="FF000099"/>
      <name val="Arial"/>
      <family val="2"/>
    </font>
    <font>
      <b/>
      <i/>
      <sz val="14"/>
      <color theme="5" tint="-0.249977111117893"/>
      <name val="Arial"/>
      <family val="2"/>
    </font>
    <font>
      <b/>
      <i/>
      <sz val="22"/>
      <color theme="1"/>
      <name val="Arial"/>
      <family val="2"/>
    </font>
    <font>
      <b/>
      <i/>
      <sz val="16"/>
      <color theme="0"/>
      <name val="Arial"/>
      <family val="2"/>
    </font>
    <font>
      <b/>
      <i/>
      <sz val="14"/>
      <color theme="0"/>
      <name val="Arial"/>
      <family val="2"/>
    </font>
    <font>
      <b/>
      <i/>
      <sz val="12"/>
      <color theme="0"/>
      <name val="Arial"/>
      <family val="2"/>
    </font>
    <font>
      <b/>
      <u/>
      <sz val="14"/>
      <color theme="1"/>
      <name val="Arial"/>
      <family val="2"/>
    </font>
    <font>
      <b/>
      <i/>
      <u/>
      <sz val="16"/>
      <color theme="1"/>
      <name val="Arial"/>
      <family val="2"/>
    </font>
    <font>
      <b/>
      <i/>
      <u/>
      <sz val="14"/>
      <color theme="0"/>
      <name val="Arial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u/>
      <sz val="11"/>
      <color theme="1"/>
      <name val="Arial"/>
      <family val="2"/>
    </font>
    <font>
      <b/>
      <sz val="12"/>
      <color theme="5" tint="-0.249977111117893"/>
      <name val="Arial"/>
      <family val="2"/>
    </font>
    <font>
      <sz val="13"/>
      <name val="Arial"/>
      <family val="2"/>
    </font>
    <font>
      <b/>
      <i/>
      <sz val="10"/>
      <color theme="0"/>
      <name val="Arial"/>
      <family val="2"/>
    </font>
    <font>
      <b/>
      <i/>
      <sz val="11"/>
      <color rgb="FF7030A0"/>
      <name val="Arial"/>
      <family val="2"/>
    </font>
    <font>
      <b/>
      <i/>
      <sz val="16"/>
      <color theme="1"/>
      <name val="Arial"/>
      <family val="2"/>
    </font>
    <font>
      <sz val="18"/>
      <color rgb="FF000099"/>
      <name val="Arial"/>
      <family val="2"/>
    </font>
    <font>
      <sz val="14"/>
      <color rgb="FF000099"/>
      <name val="Arial"/>
      <family val="2"/>
    </font>
    <font>
      <b/>
      <u/>
      <sz val="14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3"/>
      <color rgb="FF000000"/>
      <name val="Arial"/>
      <family val="2"/>
    </font>
    <font>
      <b/>
      <sz val="13"/>
      <color rgb="FF000000"/>
      <name val="Arial"/>
      <family val="2"/>
    </font>
    <font>
      <sz val="13"/>
      <color rgb="FFA6A6A6"/>
      <name val="Arial"/>
      <family val="2"/>
    </font>
    <font>
      <b/>
      <i/>
      <u/>
      <sz val="16"/>
      <color rgb="FF000000"/>
      <name val="Arial"/>
      <family val="2"/>
    </font>
    <font>
      <sz val="10"/>
      <name val="Arial"/>
      <family val="2"/>
      <charset val="177"/>
      <scheme val="minor"/>
    </font>
    <font>
      <sz val="10"/>
      <name val="Arial"/>
      <family val="2"/>
      <scheme val="minor"/>
    </font>
    <font>
      <b/>
      <sz val="16"/>
      <name val="Arial"/>
    </font>
    <font>
      <b/>
      <sz val="11"/>
      <name val="Arial"/>
    </font>
    <font>
      <sz val="12"/>
      <name val="Arial"/>
    </font>
    <font>
      <sz val="12"/>
      <name val="Calibri"/>
    </font>
    <font>
      <b/>
      <sz val="11"/>
      <name val="Arial"/>
    </font>
    <font>
      <b/>
      <sz val="13"/>
      <name val="Calibri"/>
    </font>
    <font>
      <i/>
      <u/>
      <sz val="16"/>
      <color rgb="FF000000"/>
      <name val="Arial"/>
      <family val="2"/>
    </font>
    <font>
      <i/>
      <u/>
      <sz val="16"/>
      <name val="Arial"/>
      <family val="2"/>
    </font>
    <font>
      <sz val="14"/>
      <name val="Arial"/>
      <family val="2"/>
    </font>
    <font>
      <b/>
      <sz val="15.4"/>
      <color rgb="FF000000"/>
      <name val="Arial"/>
    </font>
    <font>
      <sz val="11"/>
      <name val="Arial"/>
    </font>
    <font>
      <sz val="10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7FEB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FBC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FF8B"/>
        <bgColor indexed="64"/>
      </patternFill>
    </fill>
    <fill>
      <patternFill patternType="solid">
        <fgColor rgb="FFD1F9A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5FAB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7FEBA"/>
        <bgColor rgb="FFC7FEBA"/>
      </patternFill>
    </fill>
    <fill>
      <patternFill patternType="solid">
        <fgColor rgb="FFDEEBF6"/>
      </patternFill>
    </fill>
    <fill>
      <patternFill patternType="solid">
        <fgColor rgb="FFFFF3CB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dashed">
        <color rgb="FF000000"/>
      </top>
      <bottom style="thin">
        <color indexed="64"/>
      </bottom>
      <diagonal/>
    </border>
    <border>
      <left/>
      <right/>
      <top/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indexed="64"/>
      </top>
      <bottom style="dashed">
        <color rgb="FF000000"/>
      </bottom>
      <diagonal/>
    </border>
  </borders>
  <cellStyleXfs count="2">
    <xf numFmtId="0" fontId="0" fillId="0" borderId="32"/>
    <xf numFmtId="9" fontId="33" fillId="0" borderId="32"/>
  </cellStyleXfs>
  <cellXfs count="353">
    <xf numFmtId="0" fontId="0" fillId="0" borderId="0" xfId="0" applyBorder="1"/>
    <xf numFmtId="3" fontId="0" fillId="2" borderId="0" xfId="0" applyNumberFormat="1" applyFill="1" applyBorder="1" applyAlignment="1">
      <alignment horizontal="right" vertical="center" readingOrder="2"/>
    </xf>
    <xf numFmtId="3" fontId="0" fillId="0" borderId="0" xfId="0" applyNumberFormat="1" applyBorder="1" applyAlignment="1">
      <alignment horizontal="right" vertical="center" readingOrder="2"/>
    </xf>
    <xf numFmtId="3" fontId="3" fillId="2" borderId="0" xfId="0" applyNumberFormat="1" applyFont="1" applyFill="1" applyBorder="1" applyAlignment="1">
      <alignment horizontal="right" vertical="center" wrapText="1" readingOrder="2"/>
    </xf>
    <xf numFmtId="3" fontId="6" fillId="2" borderId="0" xfId="0" applyNumberFormat="1" applyFont="1" applyFill="1" applyBorder="1" applyAlignment="1">
      <alignment horizontal="center" vertical="center" wrapText="1" readingOrder="2"/>
    </xf>
    <xf numFmtId="3" fontId="3" fillId="2" borderId="0" xfId="0" applyNumberFormat="1" applyFont="1" applyFill="1" applyBorder="1" applyAlignment="1">
      <alignment horizontal="right" vertical="center" readingOrder="2"/>
    </xf>
    <xf numFmtId="3" fontId="3" fillId="0" borderId="0" xfId="0" applyNumberFormat="1" applyFont="1" applyBorder="1" applyAlignment="1">
      <alignment horizontal="right" vertical="center" readingOrder="2"/>
    </xf>
    <xf numFmtId="164" fontId="9" fillId="0" borderId="0" xfId="0" applyNumberFormat="1" applyFont="1" applyBorder="1" applyAlignment="1">
      <alignment horizontal="left" vertical="center"/>
    </xf>
    <xf numFmtId="165" fontId="12" fillId="2" borderId="0" xfId="0" applyNumberFormat="1" applyFont="1" applyFill="1" applyBorder="1" applyAlignment="1">
      <alignment horizontal="center" vertical="center" wrapText="1" readingOrder="2"/>
    </xf>
    <xf numFmtId="165" fontId="13" fillId="0" borderId="0" xfId="0" applyNumberFormat="1" applyFont="1" applyBorder="1" applyAlignment="1">
      <alignment horizontal="center" vertical="center" wrapText="1" readingOrder="2"/>
    </xf>
    <xf numFmtId="3" fontId="3" fillId="2" borderId="0" xfId="0" applyNumberFormat="1" applyFont="1" applyFill="1" applyBorder="1" applyAlignment="1">
      <alignment horizontal="center" vertical="center" readingOrder="2"/>
    </xf>
    <xf numFmtId="3" fontId="11" fillId="7" borderId="7" xfId="0" applyNumberFormat="1" applyFont="1" applyFill="1" applyBorder="1" applyAlignment="1">
      <alignment horizontal="center" vertical="center" readingOrder="2"/>
    </xf>
    <xf numFmtId="3" fontId="11" fillId="5" borderId="2" xfId="0" applyNumberFormat="1" applyFont="1" applyFill="1" applyBorder="1" applyAlignment="1">
      <alignment horizontal="center" vertical="center" readingOrder="2"/>
    </xf>
    <xf numFmtId="4" fontId="11" fillId="5" borderId="2" xfId="0" applyNumberFormat="1" applyFont="1" applyFill="1" applyBorder="1" applyAlignment="1">
      <alignment horizontal="center" vertical="center" readingOrder="2"/>
    </xf>
    <xf numFmtId="3" fontId="3" fillId="2" borderId="0" xfId="0" applyNumberFormat="1" applyFont="1" applyFill="1" applyBorder="1" applyAlignment="1">
      <alignment horizontal="center" vertical="center" wrapText="1" readingOrder="2"/>
    </xf>
    <xf numFmtId="3" fontId="3" fillId="0" borderId="0" xfId="0" applyNumberFormat="1" applyFont="1" applyBorder="1" applyAlignment="1">
      <alignment horizontal="right" vertical="center" wrapText="1" readingOrder="2"/>
    </xf>
    <xf numFmtId="3" fontId="14" fillId="0" borderId="0" xfId="0" applyNumberFormat="1" applyFont="1" applyBorder="1" applyAlignment="1">
      <alignment vertical="center" readingOrder="2"/>
    </xf>
    <xf numFmtId="3" fontId="19" fillId="2" borderId="0" xfId="0" applyNumberFormat="1" applyFont="1" applyFill="1" applyBorder="1" applyAlignment="1">
      <alignment horizontal="center" vertical="center" wrapText="1" readingOrder="2"/>
    </xf>
    <xf numFmtId="3" fontId="5" fillId="2" borderId="0" xfId="0" applyNumberFormat="1" applyFont="1" applyFill="1" applyBorder="1" applyAlignment="1">
      <alignment horizontal="right" vertical="center" readingOrder="2"/>
    </xf>
    <xf numFmtId="3" fontId="7" fillId="0" borderId="0" xfId="0" applyNumberFormat="1" applyFont="1" applyBorder="1" applyAlignment="1">
      <alignment horizontal="left" vertical="center" readingOrder="2"/>
    </xf>
    <xf numFmtId="3" fontId="4" fillId="0" borderId="0" xfId="0" applyNumberFormat="1" applyFont="1" applyBorder="1" applyAlignment="1">
      <alignment horizontal="center" vertical="center" readingOrder="2"/>
    </xf>
    <xf numFmtId="3" fontId="5" fillId="0" borderId="0" xfId="0" applyNumberFormat="1" applyFont="1" applyBorder="1" applyAlignment="1">
      <alignment horizontal="center" readingOrder="2"/>
    </xf>
    <xf numFmtId="165" fontId="5" fillId="0" borderId="0" xfId="0" applyNumberFormat="1" applyFont="1" applyBorder="1" applyAlignment="1">
      <alignment horizontal="right" vertical="center" indent="1" readingOrder="2"/>
    </xf>
    <xf numFmtId="3" fontId="5" fillId="0" borderId="0" xfId="0" applyNumberFormat="1" applyFont="1" applyBorder="1" applyAlignment="1">
      <alignment horizontal="right" vertical="center" readingOrder="2"/>
    </xf>
    <xf numFmtId="3" fontId="4" fillId="2" borderId="0" xfId="0" applyNumberFormat="1" applyFont="1" applyFill="1" applyBorder="1" applyAlignment="1">
      <alignment horizontal="right" readingOrder="2"/>
    </xf>
    <xf numFmtId="3" fontId="5" fillId="2" borderId="0" xfId="0" applyNumberFormat="1" applyFont="1" applyFill="1" applyBorder="1" applyAlignment="1">
      <alignment horizontal="center" vertical="center" readingOrder="2"/>
    </xf>
    <xf numFmtId="165" fontId="8" fillId="0" borderId="0" xfId="0" applyNumberFormat="1" applyFont="1" applyBorder="1" applyAlignment="1">
      <alignment horizontal="right" vertical="center" readingOrder="2"/>
    </xf>
    <xf numFmtId="165" fontId="17" fillId="2" borderId="0" xfId="0" applyNumberFormat="1" applyFont="1" applyFill="1" applyBorder="1" applyAlignment="1">
      <alignment horizontal="center" vertical="center" readingOrder="2"/>
    </xf>
    <xf numFmtId="3" fontId="7" fillId="2" borderId="0" xfId="0" applyNumberFormat="1" applyFont="1" applyFill="1" applyBorder="1" applyAlignment="1">
      <alignment horizontal="center" vertical="center" readingOrder="2"/>
    </xf>
    <xf numFmtId="3" fontId="4" fillId="2" borderId="0" xfId="0" applyNumberFormat="1" applyFont="1" applyFill="1" applyBorder="1" applyAlignment="1">
      <alignment horizontal="center" vertical="center" readingOrder="2"/>
    </xf>
    <xf numFmtId="3" fontId="5" fillId="0" borderId="0" xfId="0" applyNumberFormat="1" applyFont="1" applyBorder="1" applyAlignment="1">
      <alignment horizontal="center" vertical="center" readingOrder="2"/>
    </xf>
    <xf numFmtId="3" fontId="7" fillId="2" borderId="6" xfId="0" applyNumberFormat="1" applyFont="1" applyFill="1" applyBorder="1" applyAlignment="1">
      <alignment horizontal="center" vertical="center" readingOrder="2"/>
    </xf>
    <xf numFmtId="3" fontId="6" fillId="0" borderId="1" xfId="0" applyNumberFormat="1" applyFont="1" applyBorder="1" applyAlignment="1">
      <alignment horizontal="center" vertical="center" wrapText="1" readingOrder="2"/>
    </xf>
    <xf numFmtId="3" fontId="3" fillId="2" borderId="1" xfId="0" applyNumberFormat="1" applyFont="1" applyFill="1" applyBorder="1" applyAlignment="1">
      <alignment horizontal="right" vertical="center" wrapText="1" readingOrder="2"/>
    </xf>
    <xf numFmtId="3" fontId="6" fillId="2" borderId="1" xfId="0" applyNumberFormat="1" applyFont="1" applyFill="1" applyBorder="1" applyAlignment="1">
      <alignment horizontal="center" vertical="center" wrapText="1" readingOrder="2"/>
    </xf>
    <xf numFmtId="3" fontId="3" fillId="0" borderId="1" xfId="0" applyNumberFormat="1" applyFont="1" applyBorder="1" applyAlignment="1">
      <alignment horizontal="right" vertical="center" wrapText="1" readingOrder="2"/>
    </xf>
    <xf numFmtId="3" fontId="3" fillId="2" borderId="1" xfId="0" applyNumberFormat="1" applyFont="1" applyFill="1" applyBorder="1" applyAlignment="1">
      <alignment horizontal="right" vertical="center" readingOrder="2"/>
    </xf>
    <xf numFmtId="3" fontId="3" fillId="0" borderId="1" xfId="0" applyNumberFormat="1" applyFont="1" applyBorder="1" applyAlignment="1">
      <alignment horizontal="right" vertical="center" readingOrder="2"/>
    </xf>
    <xf numFmtId="3" fontId="3" fillId="0" borderId="0" xfId="0" applyNumberFormat="1" applyFont="1" applyBorder="1" applyAlignment="1">
      <alignment horizontal="center" vertical="center" readingOrder="2"/>
    </xf>
    <xf numFmtId="4" fontId="13" fillId="2" borderId="0" xfId="0" applyNumberFormat="1" applyFont="1" applyFill="1" applyBorder="1" applyAlignment="1">
      <alignment horizontal="center" vertical="center" wrapText="1" readingOrder="2"/>
    </xf>
    <xf numFmtId="4" fontId="13" fillId="2" borderId="0" xfId="0" applyNumberFormat="1" applyFont="1" applyFill="1" applyBorder="1" applyAlignment="1">
      <alignment horizontal="center" vertical="center" readingOrder="2"/>
    </xf>
    <xf numFmtId="49" fontId="3" fillId="2" borderId="0" xfId="0" applyNumberFormat="1" applyFont="1" applyFill="1" applyBorder="1" applyAlignment="1">
      <alignment horizontal="left" vertical="center" readingOrder="2"/>
    </xf>
    <xf numFmtId="4" fontId="13" fillId="2" borderId="0" xfId="0" applyNumberFormat="1" applyFont="1" applyFill="1" applyBorder="1" applyAlignment="1">
      <alignment horizontal="left" vertical="center" readingOrder="1"/>
    </xf>
    <xf numFmtId="3" fontId="17" fillId="2" borderId="0" xfId="0" applyNumberFormat="1" applyFont="1" applyFill="1" applyBorder="1" applyAlignment="1">
      <alignment horizontal="center" vertical="center" wrapText="1" readingOrder="2"/>
    </xf>
    <xf numFmtId="3" fontId="18" fillId="2" borderId="0" xfId="0" applyNumberFormat="1" applyFont="1" applyFill="1" applyBorder="1" applyAlignment="1">
      <alignment horizontal="center" vertical="center" wrapText="1" readingOrder="2"/>
    </xf>
    <xf numFmtId="3" fontId="22" fillId="0" borderId="0" xfId="0" applyNumberFormat="1" applyFont="1" applyBorder="1" applyAlignment="1">
      <alignment horizontal="left" vertical="center" readingOrder="2"/>
    </xf>
    <xf numFmtId="3" fontId="1" fillId="4" borderId="2" xfId="0" applyNumberFormat="1" applyFont="1" applyFill="1" applyBorder="1" applyAlignment="1">
      <alignment horizontal="right" vertical="center" readingOrder="2"/>
    </xf>
    <xf numFmtId="3" fontId="20" fillId="2" borderId="0" xfId="0" applyNumberFormat="1" applyFont="1" applyFill="1" applyBorder="1" applyAlignment="1">
      <alignment horizontal="center" vertical="center" readingOrder="2"/>
    </xf>
    <xf numFmtId="3" fontId="20" fillId="2" borderId="2" xfId="0" applyNumberFormat="1" applyFont="1" applyFill="1" applyBorder="1" applyAlignment="1">
      <alignment horizontal="center" vertical="center" readingOrder="2"/>
    </xf>
    <xf numFmtId="3" fontId="4" fillId="2" borderId="0" xfId="0" applyNumberFormat="1" applyFont="1" applyFill="1" applyBorder="1" applyAlignment="1">
      <alignment horizontal="center" vertical="center" wrapText="1" readingOrder="2"/>
    </xf>
    <xf numFmtId="3" fontId="4" fillId="0" borderId="0" xfId="0" applyNumberFormat="1" applyFont="1" applyBorder="1" applyAlignment="1">
      <alignment horizontal="center" vertical="center" wrapText="1" readingOrder="2"/>
    </xf>
    <xf numFmtId="3" fontId="15" fillId="2" borderId="0" xfId="0" applyNumberFormat="1" applyFont="1" applyFill="1" applyBorder="1" applyAlignment="1">
      <alignment horizontal="center" vertical="center" wrapText="1" readingOrder="2"/>
    </xf>
    <xf numFmtId="3" fontId="16" fillId="0" borderId="0" xfId="0" applyNumberFormat="1" applyFont="1" applyBorder="1" applyAlignment="1">
      <alignment horizontal="center" vertical="center" readingOrder="2"/>
    </xf>
    <xf numFmtId="3" fontId="23" fillId="2" borderId="0" xfId="0" applyNumberFormat="1" applyFont="1" applyFill="1" applyBorder="1" applyAlignment="1">
      <alignment horizontal="center" vertical="center" wrapText="1" readingOrder="2"/>
    </xf>
    <xf numFmtId="3" fontId="24" fillId="0" borderId="0" xfId="0" applyNumberFormat="1" applyFont="1" applyBorder="1" applyAlignment="1">
      <alignment horizontal="right" vertical="center" readingOrder="2"/>
    </xf>
    <xf numFmtId="165" fontId="14" fillId="3" borderId="2" xfId="0" applyNumberFormat="1" applyFont="1" applyFill="1" applyBorder="1" applyAlignment="1">
      <alignment horizontal="center" vertical="center" wrapText="1" readingOrder="2"/>
    </xf>
    <xf numFmtId="3" fontId="17" fillId="0" borderId="0" xfId="0" applyNumberFormat="1" applyFont="1" applyBorder="1" applyAlignment="1">
      <alignment vertical="center" readingOrder="2"/>
    </xf>
    <xf numFmtId="3" fontId="23" fillId="2" borderId="0" xfId="0" applyNumberFormat="1" applyFont="1" applyFill="1" applyBorder="1" applyAlignment="1">
      <alignment horizontal="right" vertical="center" readingOrder="2"/>
    </xf>
    <xf numFmtId="3" fontId="24" fillId="2" borderId="0" xfId="0" applyNumberFormat="1" applyFont="1" applyFill="1" applyBorder="1" applyAlignment="1">
      <alignment horizontal="right" vertical="center" readingOrder="2"/>
    </xf>
    <xf numFmtId="3" fontId="24" fillId="2" borderId="0" xfId="0" applyNumberFormat="1" applyFont="1" applyFill="1" applyBorder="1" applyAlignment="1">
      <alignment horizontal="right" vertical="center" wrapText="1" readingOrder="2"/>
    </xf>
    <xf numFmtId="165" fontId="25" fillId="2" borderId="0" xfId="0" applyNumberFormat="1" applyFont="1" applyFill="1" applyBorder="1" applyAlignment="1">
      <alignment horizontal="center" vertical="center" readingOrder="2"/>
    </xf>
    <xf numFmtId="3" fontId="5" fillId="2" borderId="0" xfId="0" applyNumberFormat="1" applyFont="1" applyFill="1" applyBorder="1" applyAlignment="1">
      <alignment horizontal="right" vertical="center" wrapText="1" readingOrder="2"/>
    </xf>
    <xf numFmtId="0" fontId="0" fillId="0" borderId="0" xfId="0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164" fontId="3" fillId="2" borderId="0" xfId="0" applyNumberFormat="1" applyFont="1" applyFill="1" applyBorder="1" applyAlignment="1">
      <alignment horizontal="left" vertical="center"/>
    </xf>
    <xf numFmtId="3" fontId="4" fillId="2" borderId="0" xfId="0" applyNumberFormat="1" applyFont="1" applyFill="1" applyBorder="1" applyAlignment="1">
      <alignment horizontal="right" vertical="center" readingOrder="2"/>
    </xf>
    <xf numFmtId="3" fontId="4" fillId="0" borderId="0" xfId="0" applyNumberFormat="1" applyFont="1" applyBorder="1" applyAlignment="1">
      <alignment horizontal="right" vertical="center" readingOrder="2"/>
    </xf>
    <xf numFmtId="49" fontId="9" fillId="0" borderId="0" xfId="0" applyNumberFormat="1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center" vertical="center" readingOrder="2"/>
    </xf>
    <xf numFmtId="165" fontId="20" fillId="2" borderId="2" xfId="0" applyNumberFormat="1" applyFont="1" applyFill="1" applyBorder="1" applyAlignment="1">
      <alignment horizontal="center" vertical="center" readingOrder="2"/>
    </xf>
    <xf numFmtId="165" fontId="4" fillId="6" borderId="2" xfId="0" applyNumberFormat="1" applyFont="1" applyFill="1" applyBorder="1" applyAlignment="1">
      <alignment horizontal="center" vertical="center" readingOrder="2"/>
    </xf>
    <xf numFmtId="3" fontId="7" fillId="2" borderId="0" xfId="0" applyNumberFormat="1" applyFont="1" applyFill="1" applyBorder="1" applyAlignment="1">
      <alignment horizontal="left" vertical="center" readingOrder="2"/>
    </xf>
    <xf numFmtId="165" fontId="17" fillId="3" borderId="5" xfId="0" applyNumberFormat="1" applyFont="1" applyFill="1" applyBorder="1" applyAlignment="1">
      <alignment horizontal="center" vertical="center" wrapText="1" readingOrder="2"/>
    </xf>
    <xf numFmtId="3" fontId="17" fillId="0" borderId="0" xfId="0" applyNumberFormat="1" applyFont="1" applyBorder="1" applyAlignment="1">
      <alignment horizontal="center" vertical="center" readingOrder="2"/>
    </xf>
    <xf numFmtId="3" fontId="17" fillId="2" borderId="0" xfId="0" applyNumberFormat="1" applyFont="1" applyFill="1" applyBorder="1" applyAlignment="1">
      <alignment horizontal="right" vertical="center" readingOrder="2"/>
    </xf>
    <xf numFmtId="0" fontId="3" fillId="0" borderId="0" xfId="0" applyFont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3" fontId="11" fillId="7" borderId="2" xfId="0" applyNumberFormat="1" applyFont="1" applyFill="1" applyBorder="1" applyAlignment="1">
      <alignment horizontal="center" vertical="center" readingOrder="2"/>
    </xf>
    <xf numFmtId="3" fontId="3" fillId="2" borderId="0" xfId="0" applyNumberFormat="1" applyFont="1" applyFill="1" applyBorder="1" applyAlignment="1" applyProtection="1">
      <alignment horizontal="right" vertical="center" readingOrder="2"/>
      <protection locked="0"/>
    </xf>
    <xf numFmtId="3" fontId="14" fillId="0" borderId="0" xfId="0" applyNumberFormat="1" applyFont="1" applyBorder="1" applyAlignment="1">
      <alignment horizontal="right" vertical="center" readingOrder="2"/>
    </xf>
    <xf numFmtId="3" fontId="36" fillId="0" borderId="0" xfId="0" applyNumberFormat="1" applyFont="1" applyBorder="1" applyAlignment="1">
      <alignment horizontal="right" vertical="center" readingOrder="2"/>
    </xf>
    <xf numFmtId="3" fontId="28" fillId="8" borderId="0" xfId="0" applyNumberFormat="1" applyFont="1" applyFill="1" applyBorder="1" applyAlignment="1">
      <alignment vertical="center" wrapText="1" readingOrder="2"/>
    </xf>
    <xf numFmtId="3" fontId="16" fillId="2" borderId="0" xfId="0" applyNumberFormat="1" applyFont="1" applyFill="1" applyBorder="1" applyAlignment="1">
      <alignment horizontal="center" vertical="center" wrapText="1" readingOrder="2"/>
    </xf>
    <xf numFmtId="3" fontId="29" fillId="8" borderId="0" xfId="0" applyNumberFormat="1" applyFont="1" applyFill="1" applyBorder="1" applyAlignment="1">
      <alignment vertical="center" wrapText="1" readingOrder="2"/>
    </xf>
    <xf numFmtId="3" fontId="29" fillId="2" borderId="0" xfId="0" applyNumberFormat="1" applyFont="1" applyFill="1" applyBorder="1" applyAlignment="1">
      <alignment vertical="center" wrapText="1" readingOrder="2"/>
    </xf>
    <xf numFmtId="49" fontId="38" fillId="8" borderId="0" xfId="0" applyNumberFormat="1" applyFont="1" applyFill="1" applyBorder="1" applyAlignment="1">
      <alignment horizontal="right" vertical="center" readingOrder="2"/>
    </xf>
    <xf numFmtId="49" fontId="38" fillId="8" borderId="0" xfId="0" applyNumberFormat="1" applyFont="1" applyFill="1" applyBorder="1" applyAlignment="1">
      <alignment vertical="center" readingOrder="2"/>
    </xf>
    <xf numFmtId="3" fontId="16" fillId="2" borderId="0" xfId="0" applyNumberFormat="1" applyFont="1" applyFill="1" applyBorder="1" applyAlignment="1">
      <alignment horizontal="left" vertical="center" wrapText="1" readingOrder="2"/>
    </xf>
    <xf numFmtId="3" fontId="17" fillId="2" borderId="0" xfId="0" applyNumberFormat="1" applyFont="1" applyFill="1" applyBorder="1" applyAlignment="1">
      <alignment horizontal="left" vertical="center" wrapText="1" readingOrder="2"/>
    </xf>
    <xf numFmtId="3" fontId="38" fillId="8" borderId="0" xfId="0" applyNumberFormat="1" applyFont="1" applyFill="1" applyBorder="1" applyAlignment="1">
      <alignment horizontal="left" vertical="center" readingOrder="2"/>
    </xf>
    <xf numFmtId="3" fontId="38" fillId="8" borderId="0" xfId="0" applyNumberFormat="1" applyFont="1" applyFill="1" applyBorder="1" applyAlignment="1">
      <alignment horizontal="center" vertical="center" readingOrder="2"/>
    </xf>
    <xf numFmtId="3" fontId="39" fillId="8" borderId="9" xfId="0" applyNumberFormat="1" applyFont="1" applyFill="1" applyBorder="1" applyAlignment="1">
      <alignment horizontal="center" vertical="center" readingOrder="2"/>
    </xf>
    <xf numFmtId="3" fontId="38" fillId="8" borderId="3" xfId="0" applyNumberFormat="1" applyFont="1" applyFill="1" applyBorder="1" applyAlignment="1">
      <alignment vertical="center" readingOrder="2"/>
    </xf>
    <xf numFmtId="3" fontId="37" fillId="8" borderId="3" xfId="0" applyNumberFormat="1" applyFont="1" applyFill="1" applyBorder="1" applyAlignment="1">
      <alignment vertical="center" wrapText="1" readingOrder="2"/>
    </xf>
    <xf numFmtId="165" fontId="5" fillId="0" borderId="0" xfId="0" applyNumberFormat="1" applyFont="1" applyBorder="1" applyAlignment="1">
      <alignment horizontal="right" vertical="center" readingOrder="2"/>
    </xf>
    <xf numFmtId="165" fontId="19" fillId="0" borderId="0" xfId="0" applyNumberFormat="1" applyFont="1" applyBorder="1" applyAlignment="1">
      <alignment horizontal="right" vertical="center" readingOrder="2"/>
    </xf>
    <xf numFmtId="165" fontId="40" fillId="0" borderId="0" xfId="0" applyNumberFormat="1" applyFont="1" applyBorder="1" applyAlignment="1">
      <alignment horizontal="right" vertical="center" readingOrder="2"/>
    </xf>
    <xf numFmtId="164" fontId="16" fillId="0" borderId="0" xfId="0" applyNumberFormat="1" applyFont="1" applyBorder="1" applyAlignment="1">
      <alignment horizontal="left" vertical="center"/>
    </xf>
    <xf numFmtId="165" fontId="4" fillId="0" borderId="0" xfId="0" applyNumberFormat="1" applyFont="1" applyBorder="1" applyAlignment="1">
      <alignment horizontal="right" vertical="center" readingOrder="2"/>
    </xf>
    <xf numFmtId="3" fontId="4" fillId="7" borderId="2" xfId="0" applyNumberFormat="1" applyFont="1" applyFill="1" applyBorder="1" applyAlignment="1">
      <alignment horizontal="center" vertical="center" readingOrder="2"/>
    </xf>
    <xf numFmtId="3" fontId="5" fillId="2" borderId="0" xfId="0" applyNumberFormat="1" applyFont="1" applyFill="1" applyBorder="1" applyAlignment="1">
      <alignment vertical="center" readingOrder="2"/>
    </xf>
    <xf numFmtId="165" fontId="26" fillId="0" borderId="0" xfId="0" applyNumberFormat="1" applyFont="1" applyBorder="1" applyAlignment="1">
      <alignment horizontal="right" vertical="center" readingOrder="2"/>
    </xf>
    <xf numFmtId="165" fontId="16" fillId="2" borderId="10" xfId="0" applyNumberFormat="1" applyFont="1" applyFill="1" applyBorder="1" applyAlignment="1">
      <alignment horizontal="center" vertical="center" readingOrder="2"/>
    </xf>
    <xf numFmtId="165" fontId="5" fillId="2" borderId="0" xfId="0" applyNumberFormat="1" applyFont="1" applyFill="1" applyBorder="1" applyAlignment="1">
      <alignment horizontal="right" vertical="center" readingOrder="2"/>
    </xf>
    <xf numFmtId="165" fontId="10" fillId="0" borderId="0" xfId="0" applyNumberFormat="1" applyFont="1" applyBorder="1" applyAlignment="1">
      <alignment horizontal="right" vertical="center" readingOrder="2"/>
    </xf>
    <xf numFmtId="3" fontId="41" fillId="0" borderId="0" xfId="0" applyNumberFormat="1" applyFont="1" applyBorder="1" applyAlignment="1">
      <alignment vertical="center" readingOrder="2"/>
    </xf>
    <xf numFmtId="3" fontId="28" fillId="8" borderId="0" xfId="0" applyNumberFormat="1" applyFont="1" applyFill="1" applyBorder="1" applyAlignment="1">
      <alignment horizontal="left" vertical="center" readingOrder="2"/>
    </xf>
    <xf numFmtId="3" fontId="38" fillId="2" borderId="0" xfId="0" applyNumberFormat="1" applyFont="1" applyFill="1" applyBorder="1" applyAlignment="1">
      <alignment horizontal="left" vertical="center" readingOrder="2"/>
    </xf>
    <xf numFmtId="3" fontId="38" fillId="2" borderId="0" xfId="0" applyNumberFormat="1" applyFont="1" applyFill="1" applyBorder="1" applyAlignment="1">
      <alignment horizontal="center" vertical="center" readingOrder="2"/>
    </xf>
    <xf numFmtId="3" fontId="39" fillId="2" borderId="0" xfId="0" applyNumberFormat="1" applyFont="1" applyFill="1" applyBorder="1" applyAlignment="1">
      <alignment horizontal="center" vertical="center" readingOrder="2"/>
    </xf>
    <xf numFmtId="3" fontId="38" fillId="2" borderId="0" xfId="0" applyNumberFormat="1" applyFont="1" applyFill="1" applyBorder="1" applyAlignment="1">
      <alignment vertical="center" readingOrder="2"/>
    </xf>
    <xf numFmtId="3" fontId="37" fillId="2" borderId="0" xfId="0" applyNumberFormat="1" applyFont="1" applyFill="1" applyBorder="1" applyAlignment="1">
      <alignment vertical="center" wrapText="1" readingOrder="2"/>
    </xf>
    <xf numFmtId="0" fontId="32" fillId="0" borderId="0" xfId="0" applyFont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center" vertical="center" readingOrder="2"/>
    </xf>
    <xf numFmtId="165" fontId="16" fillId="10" borderId="10" xfId="0" applyNumberFormat="1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 wrapText="1"/>
    </xf>
    <xf numFmtId="165" fontId="24" fillId="2" borderId="0" xfId="0" applyNumberFormat="1" applyFont="1" applyFill="1" applyBorder="1" applyAlignment="1">
      <alignment horizontal="right" vertical="center" readingOrder="2"/>
    </xf>
    <xf numFmtId="3" fontId="16" fillId="2" borderId="0" xfId="0" applyNumberFormat="1" applyFont="1" applyFill="1" applyBorder="1" applyAlignment="1">
      <alignment horizontal="right" vertical="center" readingOrder="2"/>
    </xf>
    <xf numFmtId="3" fontId="4" fillId="2" borderId="2" xfId="0" applyNumberFormat="1" applyFont="1" applyFill="1" applyBorder="1" applyAlignment="1">
      <alignment horizontal="center" vertical="center" readingOrder="2"/>
    </xf>
    <xf numFmtId="3" fontId="26" fillId="2" borderId="0" xfId="0" applyNumberFormat="1" applyFont="1" applyFill="1" applyBorder="1" applyAlignment="1">
      <alignment horizontal="right" vertical="center" readingOrder="2"/>
    </xf>
    <xf numFmtId="165" fontId="7" fillId="2" borderId="10" xfId="0" applyNumberFormat="1" applyFont="1" applyFill="1" applyBorder="1" applyAlignment="1">
      <alignment horizontal="center" vertical="center" readingOrder="2"/>
    </xf>
    <xf numFmtId="0" fontId="3" fillId="0" borderId="0" xfId="0" applyFont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165" fontId="10" fillId="2" borderId="0" xfId="0" applyNumberFormat="1" applyFont="1" applyFill="1" applyBorder="1" applyAlignment="1">
      <alignment horizontal="right" vertical="center" readingOrder="2"/>
    </xf>
    <xf numFmtId="3" fontId="7" fillId="0" borderId="0" xfId="0" applyNumberFormat="1" applyFont="1" applyBorder="1" applyAlignment="1">
      <alignment horizontal="right" vertical="center" readingOrder="2"/>
    </xf>
    <xf numFmtId="3" fontId="31" fillId="0" borderId="0" xfId="0" applyNumberFormat="1" applyFont="1" applyBorder="1" applyAlignment="1">
      <alignment horizontal="center" vertical="center" wrapText="1" readingOrder="2"/>
    </xf>
    <xf numFmtId="0" fontId="32" fillId="0" borderId="0" xfId="0" applyFont="1" applyBorder="1" applyAlignment="1">
      <alignment vertical="center"/>
    </xf>
    <xf numFmtId="3" fontId="26" fillId="2" borderId="0" xfId="0" applyNumberFormat="1" applyFont="1" applyFill="1" applyBorder="1" applyAlignment="1">
      <alignment horizontal="right" vertical="top" wrapText="1" readingOrder="2"/>
    </xf>
    <xf numFmtId="3" fontId="42" fillId="8" borderId="9" xfId="0" applyNumberFormat="1" applyFont="1" applyFill="1" applyBorder="1" applyAlignment="1">
      <alignment horizontal="center" vertical="center" readingOrder="2"/>
    </xf>
    <xf numFmtId="3" fontId="4" fillId="7" borderId="11" xfId="0" applyNumberFormat="1" applyFont="1" applyFill="1" applyBorder="1" applyAlignment="1">
      <alignment horizontal="center" vertical="center" readingOrder="2"/>
    </xf>
    <xf numFmtId="0" fontId="43" fillId="0" borderId="0" xfId="0" applyFont="1" applyBorder="1" applyAlignment="1">
      <alignment horizontal="left" vertical="center" wrapText="1"/>
    </xf>
    <xf numFmtId="3" fontId="4" fillId="0" borderId="0" xfId="0" applyNumberFormat="1" applyFont="1" applyBorder="1" applyAlignment="1">
      <alignment horizontal="left" vertical="center" readingOrder="2"/>
    </xf>
    <xf numFmtId="0" fontId="43" fillId="0" borderId="0" xfId="0" applyFont="1" applyBorder="1" applyAlignment="1">
      <alignment vertical="center" wrapText="1"/>
    </xf>
    <xf numFmtId="3" fontId="44" fillId="0" borderId="0" xfId="0" applyNumberFormat="1" applyFont="1" applyBorder="1" applyAlignment="1">
      <alignment horizontal="right" vertical="center" readingOrder="2"/>
    </xf>
    <xf numFmtId="0" fontId="21" fillId="0" borderId="0" xfId="0" applyFont="1" applyBorder="1" applyAlignment="1">
      <alignment horizontal="right" vertical="top" wrapText="1"/>
    </xf>
    <xf numFmtId="4" fontId="4" fillId="0" borderId="0" xfId="0" applyNumberFormat="1" applyFont="1" applyBorder="1" applyAlignment="1">
      <alignment horizontal="right" vertical="center" readingOrder="2"/>
    </xf>
    <xf numFmtId="3" fontId="4" fillId="9" borderId="2" xfId="0" applyNumberFormat="1" applyFont="1" applyFill="1" applyBorder="1" applyAlignment="1">
      <alignment horizontal="center" vertical="center"/>
    </xf>
    <xf numFmtId="0" fontId="45" fillId="0" borderId="0" xfId="0" applyFont="1" applyBorder="1"/>
    <xf numFmtId="0" fontId="46" fillId="0" borderId="0" xfId="0" applyFont="1" applyBorder="1"/>
    <xf numFmtId="0" fontId="46" fillId="0" borderId="0" xfId="0" applyFont="1" applyBorder="1" applyAlignment="1">
      <alignment horizontal="right"/>
    </xf>
    <xf numFmtId="0" fontId="43" fillId="0" borderId="0" xfId="0" applyFont="1" applyBorder="1" applyAlignment="1">
      <alignment horizontal="right"/>
    </xf>
    <xf numFmtId="165" fontId="16" fillId="6" borderId="10" xfId="0" applyNumberFormat="1" applyFont="1" applyFill="1" applyBorder="1" applyAlignment="1">
      <alignment horizontal="center" vertical="center" readingOrder="2"/>
    </xf>
    <xf numFmtId="164" fontId="4" fillId="9" borderId="2" xfId="0" applyNumberFormat="1" applyFont="1" applyFill="1" applyBorder="1" applyAlignment="1">
      <alignment horizontal="center" vertical="center"/>
    </xf>
    <xf numFmtId="165" fontId="7" fillId="0" borderId="0" xfId="0" applyNumberFormat="1" applyFont="1" applyBorder="1" applyAlignment="1">
      <alignment horizontal="right" vertical="center" readingOrder="2"/>
    </xf>
    <xf numFmtId="3" fontId="4" fillId="2" borderId="2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3" fontId="19" fillId="2" borderId="0" xfId="0" applyNumberFormat="1" applyFont="1" applyFill="1" applyBorder="1" applyAlignment="1">
      <alignment horizontal="right" vertical="center" readingOrder="2"/>
    </xf>
    <xf numFmtId="0" fontId="45" fillId="0" borderId="0" xfId="0" applyFont="1" applyBorder="1" applyAlignment="1">
      <alignment horizontal="right"/>
    </xf>
    <xf numFmtId="3" fontId="26" fillId="0" borderId="0" xfId="0" applyNumberFormat="1" applyFont="1" applyBorder="1" applyAlignment="1">
      <alignment horizontal="right" vertical="center" readingOrder="2"/>
    </xf>
    <xf numFmtId="3" fontId="47" fillId="0" borderId="0" xfId="0" applyNumberFormat="1" applyFont="1" applyBorder="1" applyAlignment="1">
      <alignment horizontal="right" vertical="center" readingOrder="2"/>
    </xf>
    <xf numFmtId="164" fontId="4" fillId="2" borderId="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 vertical="center" wrapText="1" readingOrder="2"/>
    </xf>
    <xf numFmtId="3" fontId="48" fillId="0" borderId="0" xfId="0" applyNumberFormat="1" applyFont="1" applyBorder="1" applyAlignment="1">
      <alignment horizontal="right" vertical="center" wrapText="1" readingOrder="2"/>
    </xf>
    <xf numFmtId="165" fontId="26" fillId="0" borderId="0" xfId="0" applyNumberFormat="1" applyFont="1" applyBorder="1" applyAlignment="1">
      <alignment vertical="center" readingOrder="2"/>
    </xf>
    <xf numFmtId="165" fontId="25" fillId="2" borderId="8" xfId="0" applyNumberFormat="1" applyFont="1" applyFill="1" applyBorder="1" applyAlignment="1">
      <alignment horizontal="center" vertical="center" readingOrder="1"/>
    </xf>
    <xf numFmtId="164" fontId="6" fillId="0" borderId="0" xfId="0" applyNumberFormat="1" applyFont="1" applyBorder="1" applyAlignment="1">
      <alignment horizontal="left" vertical="center" readingOrder="2"/>
    </xf>
    <xf numFmtId="0" fontId="44" fillId="0" borderId="0" xfId="0" applyFont="1" applyBorder="1"/>
    <xf numFmtId="3" fontId="50" fillId="8" borderId="0" xfId="0" applyNumberFormat="1" applyFont="1" applyFill="1" applyBorder="1" applyAlignment="1">
      <alignment horizontal="center" vertical="center" readingOrder="2"/>
    </xf>
    <xf numFmtId="3" fontId="16" fillId="2" borderId="0" xfId="0" applyNumberFormat="1" applyFont="1" applyFill="1" applyBorder="1" applyAlignment="1">
      <alignment horizontal="center" vertical="center" readingOrder="2"/>
    </xf>
    <xf numFmtId="3" fontId="51" fillId="8" borderId="0" xfId="0" applyNumberFormat="1" applyFont="1" applyFill="1" applyBorder="1" applyAlignment="1">
      <alignment horizontal="center" vertical="center" readingOrder="2"/>
    </xf>
    <xf numFmtId="3" fontId="20" fillId="4" borderId="2" xfId="0" applyNumberFormat="1" applyFont="1" applyFill="1" applyBorder="1" applyAlignment="1">
      <alignment horizontal="center" vertical="center" readingOrder="2"/>
    </xf>
    <xf numFmtId="3" fontId="20" fillId="4" borderId="2" xfId="0" applyNumberFormat="1" applyFont="1" applyFill="1" applyBorder="1" applyAlignment="1">
      <alignment horizontal="right" vertical="center" readingOrder="2"/>
    </xf>
    <xf numFmtId="3" fontId="22" fillId="0" borderId="0" xfId="0" applyNumberFormat="1" applyFont="1" applyBorder="1" applyAlignment="1" applyProtection="1">
      <alignment horizontal="left" vertical="center" readingOrder="2"/>
      <protection hidden="1"/>
    </xf>
    <xf numFmtId="3" fontId="0" fillId="0" borderId="0" xfId="0" applyNumberFormat="1" applyBorder="1" applyAlignment="1" applyProtection="1">
      <alignment horizontal="left" vertical="center" readingOrder="2"/>
      <protection hidden="1"/>
    </xf>
    <xf numFmtId="165" fontId="52" fillId="2" borderId="0" xfId="0" applyNumberFormat="1" applyFont="1" applyFill="1" applyBorder="1" applyAlignment="1">
      <alignment horizontal="center" vertical="center" readingOrder="2"/>
    </xf>
    <xf numFmtId="165" fontId="19" fillId="2" borderId="0" xfId="0" applyNumberFormat="1" applyFont="1" applyFill="1" applyBorder="1" applyAlignment="1">
      <alignment horizontal="center" vertical="top" wrapText="1" readingOrder="2"/>
    </xf>
    <xf numFmtId="4" fontId="34" fillId="2" borderId="0" xfId="0" applyNumberFormat="1" applyFont="1" applyFill="1" applyBorder="1" applyAlignment="1">
      <alignment horizontal="center" vertical="center" wrapText="1" readingOrder="2"/>
    </xf>
    <xf numFmtId="165" fontId="53" fillId="2" borderId="0" xfId="0" applyNumberFormat="1" applyFont="1" applyFill="1" applyBorder="1" applyAlignment="1">
      <alignment horizontal="center" vertical="center" readingOrder="1"/>
    </xf>
    <xf numFmtId="165" fontId="54" fillId="2" borderId="0" xfId="0" applyNumberFormat="1" applyFont="1" applyFill="1" applyBorder="1" applyAlignment="1">
      <alignment horizontal="center" vertical="center" readingOrder="1"/>
    </xf>
    <xf numFmtId="4" fontId="13" fillId="2" borderId="0" xfId="0" applyNumberFormat="1" applyFont="1" applyFill="1" applyBorder="1" applyAlignment="1">
      <alignment horizontal="center" vertical="center" readingOrder="1"/>
    </xf>
    <xf numFmtId="4" fontId="54" fillId="2" borderId="0" xfId="0" applyNumberFormat="1" applyFont="1" applyFill="1" applyBorder="1" applyAlignment="1">
      <alignment horizontal="center" vertical="center" readingOrder="1"/>
    </xf>
    <xf numFmtId="165" fontId="3" fillId="2" borderId="0" xfId="0" applyNumberFormat="1" applyFont="1" applyFill="1" applyBorder="1" applyAlignment="1">
      <alignment horizontal="right" vertical="center" wrapText="1" readingOrder="2"/>
    </xf>
    <xf numFmtId="4" fontId="3" fillId="2" borderId="2" xfId="0" applyNumberFormat="1" applyFont="1" applyFill="1" applyBorder="1" applyAlignment="1">
      <alignment horizontal="center" vertical="center" readingOrder="2"/>
    </xf>
    <xf numFmtId="0" fontId="55" fillId="0" borderId="0" xfId="0" applyFont="1" applyBorder="1" applyAlignment="1">
      <alignment horizontal="right" vertical="center" readingOrder="2"/>
    </xf>
    <xf numFmtId="3" fontId="56" fillId="0" borderId="0" xfId="0" applyNumberFormat="1" applyFont="1" applyBorder="1" applyAlignment="1">
      <alignment horizontal="right" vertical="center" readingOrder="2"/>
    </xf>
    <xf numFmtId="3" fontId="57" fillId="0" borderId="0" xfId="0" applyNumberFormat="1" applyFont="1" applyBorder="1" applyAlignment="1">
      <alignment horizontal="center" vertical="center" readingOrder="2"/>
    </xf>
    <xf numFmtId="0" fontId="58" fillId="0" borderId="0" xfId="0" applyFont="1" applyBorder="1" applyAlignment="1">
      <alignment readingOrder="1"/>
    </xf>
    <xf numFmtId="0" fontId="58" fillId="0" borderId="0" xfId="0" applyFont="1" applyBorder="1" applyAlignment="1">
      <alignment horizontal="left" readingOrder="2"/>
    </xf>
    <xf numFmtId="3" fontId="56" fillId="13" borderId="0" xfId="0" applyNumberFormat="1" applyFont="1" applyFill="1" applyBorder="1" applyAlignment="1">
      <alignment horizontal="right" vertical="center" readingOrder="2"/>
    </xf>
    <xf numFmtId="3" fontId="56" fillId="0" borderId="0" xfId="0" applyNumberFormat="1" applyFont="1" applyBorder="1" applyAlignment="1">
      <alignment horizontal="center" vertical="center" readingOrder="2"/>
    </xf>
    <xf numFmtId="3" fontId="58" fillId="13" borderId="0" xfId="0" applyNumberFormat="1" applyFont="1" applyFill="1" applyBorder="1" applyAlignment="1">
      <alignment horizontal="right" vertical="center" readingOrder="2"/>
    </xf>
    <xf numFmtId="3" fontId="56" fillId="14" borderId="7" xfId="0" applyNumberFormat="1" applyFont="1" applyFill="1" applyBorder="1" applyAlignment="1">
      <alignment horizontal="left" vertical="center" readingOrder="2"/>
    </xf>
    <xf numFmtId="3" fontId="56" fillId="14" borderId="7" xfId="0" applyNumberFormat="1" applyFont="1" applyFill="1" applyBorder="1" applyAlignment="1">
      <alignment horizontal="right" vertical="center" readingOrder="2"/>
    </xf>
    <xf numFmtId="0" fontId="60" fillId="12" borderId="14" xfId="0" applyFont="1" applyFill="1" applyBorder="1" applyAlignment="1">
      <alignment readingOrder="1"/>
    </xf>
    <xf numFmtId="3" fontId="60" fillId="12" borderId="12" xfId="0" applyNumberFormat="1" applyFont="1" applyFill="1" applyBorder="1" applyAlignment="1">
      <alignment horizontal="right" readingOrder="2"/>
    </xf>
    <xf numFmtId="3" fontId="4" fillId="6" borderId="2" xfId="0" applyNumberFormat="1" applyFont="1" applyFill="1" applyBorder="1" applyAlignment="1">
      <alignment horizontal="center" vertical="center" readingOrder="2"/>
    </xf>
    <xf numFmtId="3" fontId="61" fillId="0" borderId="0" xfId="0" applyNumberFormat="1" applyFont="1" applyBorder="1" applyAlignment="1">
      <alignment vertical="center" readingOrder="2"/>
    </xf>
    <xf numFmtId="165" fontId="58" fillId="0" borderId="0" xfId="0" applyNumberFormat="1" applyFont="1" applyBorder="1" applyAlignment="1">
      <alignment horizontal="right" vertical="center" readingOrder="2"/>
    </xf>
    <xf numFmtId="3" fontId="49" fillId="0" borderId="0" xfId="0" applyNumberFormat="1" applyFont="1" applyBorder="1" applyAlignment="1">
      <alignment horizontal="center" readingOrder="2"/>
    </xf>
    <xf numFmtId="165" fontId="49" fillId="0" borderId="0" xfId="0" applyNumberFormat="1" applyFont="1" applyBorder="1" applyAlignment="1">
      <alignment horizontal="right" vertical="center" readingOrder="2"/>
    </xf>
    <xf numFmtId="0" fontId="62" fillId="0" borderId="0" xfId="0" applyFont="1" applyBorder="1"/>
    <xf numFmtId="3" fontId="25" fillId="0" borderId="2" xfId="0" applyNumberFormat="1" applyFont="1" applyBorder="1" applyAlignment="1">
      <alignment horizontal="center" vertical="center" readingOrder="2"/>
    </xf>
    <xf numFmtId="2" fontId="25" fillId="0" borderId="2" xfId="0" applyNumberFormat="1" applyFont="1" applyBorder="1" applyAlignment="1">
      <alignment horizontal="center" vertical="center" readingOrder="2"/>
    </xf>
    <xf numFmtId="4" fontId="25" fillId="0" borderId="2" xfId="0" applyNumberFormat="1" applyFont="1" applyBorder="1" applyAlignment="1">
      <alignment horizontal="center" vertical="center" readingOrder="2"/>
    </xf>
    <xf numFmtId="165" fontId="25" fillId="0" borderId="2" xfId="0" applyNumberFormat="1" applyFont="1" applyBorder="1" applyAlignment="1">
      <alignment horizontal="center" vertical="center" readingOrder="2"/>
    </xf>
    <xf numFmtId="0" fontId="63" fillId="0" borderId="0" xfId="0" applyFont="1" applyBorder="1"/>
    <xf numFmtId="9" fontId="25" fillId="0" borderId="2" xfId="1" applyFont="1" applyBorder="1" applyAlignment="1">
      <alignment horizontal="center" vertical="center"/>
    </xf>
    <xf numFmtId="9" fontId="25" fillId="0" borderId="2" xfId="1" applyFont="1" applyBorder="1" applyAlignment="1">
      <alignment horizontal="center" vertical="center" readingOrder="2"/>
    </xf>
    <xf numFmtId="3" fontId="11" fillId="0" borderId="0" xfId="0" applyNumberFormat="1" applyFont="1" applyBorder="1" applyAlignment="1">
      <alignment horizontal="center" vertical="center" readingOrder="1"/>
    </xf>
    <xf numFmtId="3" fontId="5" fillId="4" borderId="2" xfId="0" applyNumberFormat="1" applyFont="1" applyFill="1" applyBorder="1" applyAlignment="1">
      <alignment horizontal="right" vertical="center" readingOrder="2"/>
    </xf>
    <xf numFmtId="3" fontId="11" fillId="0" borderId="0" xfId="0" applyNumberFormat="1" applyFont="1" applyBorder="1" applyAlignment="1">
      <alignment horizontal="center" vertical="center" readingOrder="2"/>
    </xf>
    <xf numFmtId="4" fontId="11" fillId="0" borderId="0" xfId="0" applyNumberFormat="1" applyFont="1" applyBorder="1" applyAlignment="1">
      <alignment horizontal="center" vertical="center" readingOrder="2"/>
    </xf>
    <xf numFmtId="9" fontId="25" fillId="5" borderId="2" xfId="1" applyFont="1" applyFill="1" applyBorder="1" applyAlignment="1">
      <alignment horizontal="center" vertical="center"/>
    </xf>
    <xf numFmtId="9" fontId="25" fillId="0" borderId="0" xfId="1" applyFont="1" applyBorder="1" applyAlignment="1">
      <alignment horizontal="center" vertical="center"/>
    </xf>
    <xf numFmtId="3" fontId="30" fillId="2" borderId="0" xfId="0" applyNumberFormat="1" applyFont="1" applyFill="1" applyBorder="1" applyAlignment="1">
      <alignment horizontal="right" vertical="center" wrapText="1" readingOrder="1"/>
    </xf>
    <xf numFmtId="3" fontId="65" fillId="15" borderId="16" xfId="0" applyNumberFormat="1" applyFont="1" applyFill="1" applyBorder="1" applyAlignment="1">
      <alignment horizontal="right" vertical="center"/>
    </xf>
    <xf numFmtId="0" fontId="65" fillId="15" borderId="18" xfId="0" applyFont="1" applyFill="1" applyBorder="1" applyAlignment="1">
      <alignment horizontal="center" vertical="center"/>
    </xf>
    <xf numFmtId="0" fontId="0" fillId="15" borderId="15" xfId="0" applyFill="1" applyBorder="1" applyAlignment="1">
      <alignment horizontal="center"/>
    </xf>
    <xf numFmtId="0" fontId="46" fillId="15" borderId="15" xfId="0" applyFont="1" applyFill="1" applyBorder="1" applyAlignment="1">
      <alignment horizontal="center"/>
    </xf>
    <xf numFmtId="3" fontId="66" fillId="15" borderId="19" xfId="0" applyNumberFormat="1" applyFont="1" applyFill="1" applyBorder="1" applyAlignment="1">
      <alignment horizontal="center"/>
    </xf>
    <xf numFmtId="0" fontId="66" fillId="16" borderId="21" xfId="0" applyFont="1" applyFill="1" applyBorder="1" applyAlignment="1">
      <alignment horizontal="center" vertical="center"/>
    </xf>
    <xf numFmtId="3" fontId="66" fillId="15" borderId="22" xfId="0" applyNumberFormat="1" applyFont="1" applyFill="1" applyBorder="1" applyAlignment="1">
      <alignment horizontal="center"/>
    </xf>
    <xf numFmtId="0" fontId="67" fillId="15" borderId="23" xfId="0" applyFont="1" applyFill="1" applyBorder="1" applyAlignment="1">
      <alignment horizontal="center"/>
    </xf>
    <xf numFmtId="0" fontId="66" fillId="16" borderId="24" xfId="0" applyFont="1" applyFill="1" applyBorder="1" applyAlignment="1" applyProtection="1">
      <alignment horizontal="center" vertical="center"/>
      <protection locked="0"/>
    </xf>
    <xf numFmtId="0" fontId="0" fillId="15" borderId="15" xfId="0" applyFill="1" applyBorder="1"/>
    <xf numFmtId="3" fontId="64" fillId="15" borderId="15" xfId="0" applyNumberFormat="1" applyFont="1" applyFill="1" applyBorder="1" applyAlignment="1">
      <alignment horizontal="right" vertical="center"/>
    </xf>
    <xf numFmtId="3" fontId="65" fillId="15" borderId="17" xfId="0" applyNumberFormat="1" applyFont="1" applyFill="1" applyBorder="1" applyAlignment="1">
      <alignment horizontal="center" vertical="center"/>
    </xf>
    <xf numFmtId="165" fontId="65" fillId="15" borderId="26" xfId="0" applyNumberFormat="1" applyFont="1" applyFill="1" applyBorder="1" applyAlignment="1">
      <alignment horizontal="center" vertical="center"/>
    </xf>
    <xf numFmtId="3" fontId="65" fillId="15" borderId="26" xfId="0" applyNumberFormat="1" applyFont="1" applyFill="1" applyBorder="1" applyAlignment="1">
      <alignment horizontal="center" vertical="center"/>
    </xf>
    <xf numFmtId="0" fontId="67" fillId="15" borderId="20" xfId="0" applyFont="1" applyFill="1" applyBorder="1" applyAlignment="1">
      <alignment horizontal="center"/>
    </xf>
    <xf numFmtId="0" fontId="66" fillId="16" borderId="20" xfId="0" applyFont="1" applyFill="1" applyBorder="1" applyAlignment="1" applyProtection="1">
      <alignment horizontal="center" vertical="center"/>
      <protection locked="0"/>
    </xf>
    <xf numFmtId="0" fontId="69" fillId="15" borderId="27" xfId="0" applyFont="1" applyFill="1" applyBorder="1" applyAlignment="1">
      <alignment horizontal="center"/>
    </xf>
    <xf numFmtId="0" fontId="66" fillId="16" borderId="23" xfId="0" applyFont="1" applyFill="1" applyBorder="1" applyAlignment="1" applyProtection="1">
      <alignment horizontal="center" vertical="center"/>
      <protection locked="0"/>
    </xf>
    <xf numFmtId="0" fontId="69" fillId="15" borderId="28" xfId="0" applyFont="1" applyFill="1" applyBorder="1" applyAlignment="1">
      <alignment horizontal="center"/>
    </xf>
    <xf numFmtId="3" fontId="66" fillId="15" borderId="29" xfId="0" applyNumberFormat="1" applyFont="1" applyFill="1" applyBorder="1" applyAlignment="1">
      <alignment horizontal="center"/>
    </xf>
    <xf numFmtId="0" fontId="67" fillId="15" borderId="30" xfId="0" applyFont="1" applyFill="1" applyBorder="1" applyAlignment="1">
      <alignment horizontal="center"/>
    </xf>
    <xf numFmtId="0" fontId="66" fillId="16" borderId="30" xfId="0" applyFont="1" applyFill="1" applyBorder="1" applyAlignment="1" applyProtection="1">
      <alignment horizontal="center" vertical="center"/>
      <protection locked="0"/>
    </xf>
    <xf numFmtId="0" fontId="69" fillId="15" borderId="31" xfId="0" applyFont="1" applyFill="1" applyBorder="1" applyAlignment="1">
      <alignment horizontal="center"/>
    </xf>
    <xf numFmtId="3" fontId="4" fillId="15" borderId="25" xfId="0" applyNumberFormat="1" applyFont="1" applyFill="1" applyBorder="1" applyAlignment="1">
      <alignment horizontal="right" vertical="center" readingOrder="2"/>
    </xf>
    <xf numFmtId="0" fontId="43" fillId="15" borderId="25" xfId="0" applyFont="1" applyFill="1" applyBorder="1" applyAlignment="1">
      <alignment vertical="center"/>
    </xf>
    <xf numFmtId="3" fontId="68" fillId="15" borderId="25" xfId="0" applyNumberFormat="1" applyFont="1" applyFill="1" applyBorder="1" applyAlignment="1">
      <alignment horizontal="center"/>
    </xf>
    <xf numFmtId="0" fontId="43" fillId="15" borderId="25" xfId="0" applyFont="1" applyFill="1" applyBorder="1" applyAlignment="1">
      <alignment horizontal="center" vertical="center"/>
    </xf>
    <xf numFmtId="3" fontId="4" fillId="15" borderId="15" xfId="0" applyNumberFormat="1" applyFont="1" applyFill="1" applyBorder="1" applyAlignment="1" applyProtection="1">
      <alignment horizontal="center" vertical="center" readingOrder="2"/>
      <protection locked="0"/>
    </xf>
    <xf numFmtId="3" fontId="3" fillId="15" borderId="15" xfId="0" applyNumberFormat="1" applyFont="1" applyFill="1" applyBorder="1" applyAlignment="1">
      <alignment horizontal="right" vertical="center" readingOrder="2"/>
    </xf>
    <xf numFmtId="3" fontId="3" fillId="15" borderId="15" xfId="0" applyNumberFormat="1" applyFont="1" applyFill="1" applyBorder="1" applyAlignment="1">
      <alignment horizontal="right" vertical="center" wrapText="1" readingOrder="2"/>
    </xf>
    <xf numFmtId="3" fontId="20" fillId="11" borderId="2" xfId="0" applyNumberFormat="1" applyFont="1" applyFill="1" applyBorder="1" applyAlignment="1" applyProtection="1">
      <alignment horizontal="right" vertical="center" wrapText="1" readingOrder="2"/>
      <protection hidden="1"/>
    </xf>
    <xf numFmtId="0" fontId="0" fillId="0" borderId="4" xfId="0" applyBorder="1" applyProtection="1">
      <protection hidden="1"/>
    </xf>
    <xf numFmtId="165" fontId="5" fillId="15" borderId="15" xfId="0" applyNumberFormat="1" applyFont="1" applyFill="1" applyBorder="1" applyAlignment="1">
      <alignment horizontal="right" vertical="center" readingOrder="2"/>
    </xf>
    <xf numFmtId="3" fontId="57" fillId="15" borderId="15" xfId="0" applyNumberFormat="1" applyFont="1" applyFill="1" applyBorder="1" applyAlignment="1">
      <alignment horizontal="center" vertical="center" readingOrder="2"/>
    </xf>
    <xf numFmtId="165" fontId="25" fillId="15" borderId="15" xfId="0" applyNumberFormat="1" applyFont="1" applyFill="1" applyBorder="1" applyAlignment="1">
      <alignment horizontal="center" vertical="center" readingOrder="2"/>
    </xf>
    <xf numFmtId="3" fontId="67" fillId="15" borderId="20" xfId="0" applyNumberFormat="1" applyFont="1" applyFill="1" applyBorder="1" applyAlignment="1">
      <alignment horizontal="right" vertical="center"/>
    </xf>
    <xf numFmtId="0" fontId="67" fillId="15" borderId="23" xfId="0" applyFont="1" applyFill="1" applyBorder="1" applyAlignment="1">
      <alignment horizontal="right" vertical="center"/>
    </xf>
    <xf numFmtId="0" fontId="67" fillId="15" borderId="20" xfId="0" applyFont="1" applyFill="1" applyBorder="1" applyAlignment="1">
      <alignment horizontal="right" vertical="center"/>
    </xf>
    <xf numFmtId="0" fontId="67" fillId="15" borderId="30" xfId="0" applyFont="1" applyFill="1" applyBorder="1" applyAlignment="1">
      <alignment horizontal="right" vertical="center"/>
    </xf>
    <xf numFmtId="0" fontId="74" fillId="0" borderId="32" xfId="0" applyFont="1"/>
    <xf numFmtId="0" fontId="74" fillId="0" borderId="0" xfId="0" applyFont="1" applyBorder="1"/>
    <xf numFmtId="165" fontId="3" fillId="0" borderId="32" xfId="0" applyNumberFormat="1" applyFont="1" applyAlignment="1">
      <alignment horizontal="right" vertical="center" wrapText="1" readingOrder="2"/>
    </xf>
    <xf numFmtId="3" fontId="15" fillId="0" borderId="32" xfId="0" applyNumberFormat="1" applyFont="1" applyAlignment="1">
      <alignment horizontal="center" vertical="center" wrapText="1" readingOrder="2"/>
    </xf>
    <xf numFmtId="165" fontId="14" fillId="0" borderId="32" xfId="0" applyNumberFormat="1" applyFont="1" applyAlignment="1">
      <alignment horizontal="center" vertical="center" wrapText="1" readingOrder="2"/>
    </xf>
    <xf numFmtId="3" fontId="35" fillId="0" borderId="0" xfId="0" applyNumberFormat="1" applyFont="1" applyBorder="1" applyAlignment="1">
      <alignment vertical="center" wrapText="1" readingOrder="2"/>
    </xf>
    <xf numFmtId="3" fontId="19" fillId="0" borderId="0" xfId="0" applyNumberFormat="1" applyFont="1" applyBorder="1" applyAlignment="1">
      <alignment vertical="center" wrapText="1" readingOrder="2"/>
    </xf>
    <xf numFmtId="3" fontId="4" fillId="0" borderId="32" xfId="0" applyNumberFormat="1" applyFont="1" applyAlignment="1">
      <alignment horizontal="right" vertical="center" wrapText="1" readingOrder="2"/>
    </xf>
    <xf numFmtId="0" fontId="0" fillId="0" borderId="32" xfId="0"/>
    <xf numFmtId="3" fontId="24" fillId="0" borderId="0" xfId="0" applyNumberFormat="1" applyFont="1" applyBorder="1" applyAlignment="1">
      <alignment horizontal="right" vertical="center" wrapText="1" readingOrder="2"/>
    </xf>
    <xf numFmtId="3" fontId="3" fillId="0" borderId="32" xfId="0" applyNumberFormat="1" applyFont="1" applyAlignment="1">
      <alignment horizontal="right" vertical="center" readingOrder="2"/>
    </xf>
    <xf numFmtId="0" fontId="64" fillId="0" borderId="32" xfId="0" applyFont="1" applyAlignment="1">
      <alignment horizontal="right" vertical="center" readingOrder="2"/>
    </xf>
    <xf numFmtId="49" fontId="3" fillId="0" borderId="32" xfId="0" applyNumberFormat="1" applyFont="1" applyAlignment="1">
      <alignment horizontal="left" vertical="center" readingOrder="2"/>
    </xf>
    <xf numFmtId="0" fontId="64" fillId="0" borderId="0" xfId="0" applyFont="1" applyBorder="1" applyAlignment="1">
      <alignment horizontal="right" vertical="center" readingOrder="2"/>
    </xf>
    <xf numFmtId="3" fontId="65" fillId="15" borderId="33" xfId="0" applyNumberFormat="1" applyFont="1" applyFill="1" applyBorder="1" applyAlignment="1">
      <alignment horizontal="right" vertical="center"/>
    </xf>
    <xf numFmtId="0" fontId="65" fillId="15" borderId="34" xfId="0" applyFont="1" applyFill="1" applyBorder="1" applyAlignment="1">
      <alignment horizontal="center" vertical="center"/>
    </xf>
    <xf numFmtId="0" fontId="65" fillId="15" borderId="35" xfId="0" applyFont="1" applyFill="1" applyBorder="1" applyAlignment="1">
      <alignment horizontal="center" vertical="center"/>
    </xf>
    <xf numFmtId="3" fontId="73" fillId="0" borderId="0" xfId="0" applyNumberFormat="1" applyFont="1" applyBorder="1" applyAlignment="1">
      <alignment horizontal="right" vertical="center" readingOrder="2"/>
    </xf>
    <xf numFmtId="165" fontId="2" fillId="4" borderId="2" xfId="0" applyNumberFormat="1" applyFont="1" applyFill="1" applyBorder="1" applyAlignment="1">
      <alignment horizontal="center" vertical="center" readingOrder="2"/>
    </xf>
    <xf numFmtId="3" fontId="3" fillId="15" borderId="36" xfId="0" applyNumberFormat="1" applyFont="1" applyFill="1" applyBorder="1" applyAlignment="1">
      <alignment horizontal="right" vertical="center" readingOrder="2"/>
    </xf>
    <xf numFmtId="3" fontId="3" fillId="15" borderId="36" xfId="0" applyNumberFormat="1" applyFont="1" applyFill="1" applyBorder="1" applyAlignment="1">
      <alignment horizontal="left" vertical="center" readingOrder="2"/>
    </xf>
    <xf numFmtId="0" fontId="68" fillId="15" borderId="36" xfId="0" applyFont="1" applyFill="1" applyBorder="1" applyAlignment="1">
      <alignment horizontal="center"/>
    </xf>
    <xf numFmtId="3" fontId="64" fillId="0" borderId="32" xfId="0" applyNumberFormat="1" applyFont="1" applyAlignment="1">
      <alignment horizontal="right" vertical="center"/>
    </xf>
    <xf numFmtId="0" fontId="0" fillId="0" borderId="32" xfId="0" applyAlignment="1">
      <alignment horizontal="center"/>
    </xf>
    <xf numFmtId="0" fontId="46" fillId="0" borderId="32" xfId="0" applyFont="1" applyAlignment="1">
      <alignment horizontal="center"/>
    </xf>
    <xf numFmtId="3" fontId="5" fillId="0" borderId="0" xfId="0" applyNumberFormat="1" applyFont="1" applyBorder="1" applyAlignment="1">
      <alignment vertical="center" readingOrder="2"/>
    </xf>
    <xf numFmtId="3" fontId="3" fillId="0" borderId="39" xfId="0" applyNumberFormat="1" applyFont="1" applyBorder="1" applyAlignment="1">
      <alignment horizontal="center" vertical="center" readingOrder="2"/>
    </xf>
    <xf numFmtId="164" fontId="16" fillId="0" borderId="0" xfId="0" applyNumberFormat="1" applyFont="1" applyBorder="1" applyAlignment="1">
      <alignment horizontal="left" vertical="center" readingOrder="1"/>
    </xf>
    <xf numFmtId="165" fontId="14" fillId="3" borderId="5" xfId="0" applyNumberFormat="1" applyFont="1" applyFill="1" applyBorder="1" applyAlignment="1">
      <alignment horizontal="center" vertical="center" readingOrder="2"/>
    </xf>
    <xf numFmtId="3" fontId="11" fillId="7" borderId="38" xfId="0" applyNumberFormat="1" applyFont="1" applyFill="1" applyBorder="1" applyAlignment="1">
      <alignment horizontal="center" vertical="center" readingOrder="2"/>
    </xf>
    <xf numFmtId="3" fontId="4" fillId="7" borderId="38" xfId="0" applyNumberFormat="1" applyFont="1" applyFill="1" applyBorder="1" applyAlignment="1">
      <alignment horizontal="center" vertical="center" readingOrder="2"/>
    </xf>
    <xf numFmtId="3" fontId="26" fillId="0" borderId="0" xfId="0" applyNumberFormat="1" applyFont="1" applyBorder="1" applyAlignment="1">
      <alignment horizontal="right" vertical="top" readingOrder="2"/>
    </xf>
    <xf numFmtId="3" fontId="26" fillId="0" borderId="0" xfId="0" applyNumberFormat="1" applyFont="1" applyBorder="1" applyAlignment="1">
      <alignment horizontal="right" vertical="top" wrapText="1" readingOrder="2"/>
    </xf>
    <xf numFmtId="165" fontId="2" fillId="4" borderId="2" xfId="0" applyNumberFormat="1" applyFont="1" applyFill="1" applyBorder="1" applyAlignment="1">
      <alignment horizontal="center" vertical="center" readingOrder="1"/>
    </xf>
    <xf numFmtId="3" fontId="7" fillId="0" borderId="0" xfId="0" applyNumberFormat="1" applyFont="1" applyBorder="1" applyAlignment="1">
      <alignment horizontal="center" vertical="center" readingOrder="2"/>
    </xf>
    <xf numFmtId="3" fontId="2" fillId="4" borderId="2" xfId="0" applyNumberFormat="1" applyFont="1" applyFill="1" applyBorder="1" applyAlignment="1">
      <alignment horizontal="center" vertical="center" readingOrder="2"/>
    </xf>
    <xf numFmtId="3" fontId="19" fillId="0" borderId="0" xfId="0" applyNumberFormat="1" applyFont="1" applyBorder="1" applyAlignment="1">
      <alignment horizontal="center" vertical="center" indent="1" readingOrder="2"/>
    </xf>
    <xf numFmtId="3" fontId="27" fillId="0" borderId="0" xfId="0" applyNumberFormat="1" applyFont="1" applyBorder="1" applyAlignment="1">
      <alignment vertical="center" readingOrder="2"/>
    </xf>
    <xf numFmtId="165" fontId="17" fillId="17" borderId="37" xfId="0" applyNumberFormat="1" applyFont="1" applyFill="1" applyBorder="1" applyAlignment="1">
      <alignment horizontal="center" vertical="center" readingOrder="2"/>
    </xf>
    <xf numFmtId="0" fontId="43" fillId="0" borderId="0" xfId="0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 readingOrder="2"/>
    </xf>
    <xf numFmtId="3" fontId="70" fillId="0" borderId="0" xfId="0" applyNumberFormat="1" applyFont="1" applyBorder="1" applyAlignment="1">
      <alignment vertical="center" readingOrder="2"/>
    </xf>
    <xf numFmtId="3" fontId="7" fillId="0" borderId="0" xfId="0" applyNumberFormat="1" applyFont="1" applyBorder="1" applyAlignment="1">
      <alignment horizontal="left" vertical="center" readingOrder="1"/>
    </xf>
    <xf numFmtId="3" fontId="5" fillId="0" borderId="0" xfId="0" applyNumberFormat="1" applyFont="1" applyBorder="1" applyAlignment="1">
      <alignment horizontal="center" vertical="center" indent="1" readingOrder="2"/>
    </xf>
    <xf numFmtId="4" fontId="11" fillId="5" borderId="38" xfId="0" applyNumberFormat="1" applyFont="1" applyFill="1" applyBorder="1" applyAlignment="1">
      <alignment horizontal="center" vertical="center" readingOrder="2"/>
    </xf>
    <xf numFmtId="3" fontId="7" fillId="2" borderId="39" xfId="0" applyNumberFormat="1" applyFont="1" applyFill="1" applyBorder="1" applyAlignment="1">
      <alignment horizontal="center" vertical="center" readingOrder="2"/>
    </xf>
    <xf numFmtId="3" fontId="19" fillId="0" borderId="0" xfId="0" applyNumberFormat="1" applyFont="1" applyBorder="1" applyAlignment="1">
      <alignment horizontal="center" indent="1" readingOrder="2"/>
    </xf>
    <xf numFmtId="3" fontId="5" fillId="0" borderId="0" xfId="0" applyNumberFormat="1" applyFont="1" applyBorder="1" applyAlignment="1">
      <alignment horizontal="center" indent="1" readingOrder="2"/>
    </xf>
    <xf numFmtId="3" fontId="11" fillId="5" borderId="38" xfId="0" applyNumberFormat="1" applyFont="1" applyFill="1" applyBorder="1" applyAlignment="1">
      <alignment horizontal="center" vertical="center" readingOrder="1"/>
    </xf>
    <xf numFmtId="3" fontId="11" fillId="4" borderId="2" xfId="0" applyNumberFormat="1" applyFont="1" applyFill="1" applyBorder="1" applyAlignment="1">
      <alignment horizontal="center" vertical="center" readingOrder="2"/>
    </xf>
    <xf numFmtId="3" fontId="49" fillId="0" borderId="0" xfId="0" applyNumberFormat="1" applyFont="1" applyBorder="1" applyAlignment="1">
      <alignment horizontal="center" indent="1" readingOrder="2"/>
    </xf>
    <xf numFmtId="164" fontId="9" fillId="0" borderId="39" xfId="0" applyNumberFormat="1" applyFont="1" applyBorder="1" applyAlignment="1">
      <alignment horizontal="left" vertical="center"/>
    </xf>
    <xf numFmtId="3" fontId="72" fillId="0" borderId="0" xfId="0" applyNumberFormat="1" applyFont="1" applyBorder="1" applyAlignment="1">
      <alignment horizontal="center" indent="1" readingOrder="2"/>
    </xf>
    <xf numFmtId="3" fontId="71" fillId="0" borderId="0" xfId="0" applyNumberFormat="1" applyFont="1" applyBorder="1" applyAlignment="1">
      <alignment vertical="center" readingOrder="2"/>
    </xf>
    <xf numFmtId="3" fontId="75" fillId="4" borderId="2" xfId="0" applyNumberFormat="1" applyFont="1" applyFill="1" applyBorder="1" applyAlignment="1">
      <alignment horizontal="center" vertical="center" readingOrder="2"/>
    </xf>
    <xf numFmtId="3" fontId="20" fillId="0" borderId="0" xfId="0" applyNumberFormat="1" applyFont="1" applyBorder="1" applyAlignment="1" applyProtection="1">
      <alignment vertical="center" wrapText="1" readingOrder="2"/>
      <protection hidden="1"/>
    </xf>
    <xf numFmtId="3" fontId="5" fillId="0" borderId="0" xfId="0" applyNumberFormat="1" applyFont="1" applyBorder="1" applyAlignment="1">
      <alignment horizontal="right" vertical="center" wrapText="1" readingOrder="2"/>
    </xf>
    <xf numFmtId="3" fontId="61" fillId="0" borderId="0" xfId="0" applyNumberFormat="1" applyFont="1" applyBorder="1" applyAlignment="1">
      <alignment horizontal="right" vertical="center" readingOrder="2"/>
    </xf>
    <xf numFmtId="3" fontId="19" fillId="0" borderId="0" xfId="0" applyNumberFormat="1" applyFont="1" applyBorder="1" applyAlignment="1">
      <alignment horizontal="center" vertical="center" readingOrder="2"/>
    </xf>
    <xf numFmtId="3" fontId="49" fillId="0" borderId="0" xfId="0" applyNumberFormat="1" applyFont="1" applyBorder="1" applyAlignment="1">
      <alignment horizontal="right" vertical="center" readingOrder="2"/>
    </xf>
    <xf numFmtId="3" fontId="72" fillId="0" borderId="0" xfId="0" applyNumberFormat="1" applyFont="1" applyBorder="1" applyAlignment="1">
      <alignment horizontal="center" vertical="center" readingOrder="2"/>
    </xf>
    <xf numFmtId="3" fontId="5" fillId="0" borderId="0" xfId="0" applyNumberFormat="1" applyFont="1" applyBorder="1" applyAlignment="1">
      <alignment horizontal="center" vertical="center" wrapText="1" readingOrder="2"/>
    </xf>
    <xf numFmtId="0" fontId="0" fillId="0" borderId="13" xfId="0" applyBorder="1"/>
    <xf numFmtId="3" fontId="3" fillId="0" borderId="0" xfId="0" applyNumberFormat="1" applyFont="1" applyBorder="1" applyAlignment="1">
      <alignment horizontal="center" vertical="center" wrapText="1" readingOrder="2"/>
    </xf>
    <xf numFmtId="169" fontId="14" fillId="3" borderId="5" xfId="0" applyNumberFormat="1" applyFont="1" applyFill="1" applyBorder="1" applyAlignment="1">
      <alignment horizontal="center" vertical="center" readingOrder="2"/>
    </xf>
    <xf numFmtId="169" fontId="43" fillId="0" borderId="0" xfId="0" applyNumberFormat="1" applyFont="1" applyBorder="1" applyAlignment="1">
      <alignment horizontal="right" vertical="top"/>
    </xf>
    <xf numFmtId="166" fontId="4" fillId="9" borderId="38" xfId="0" applyNumberFormat="1" applyFont="1" applyFill="1" applyBorder="1" applyAlignment="1">
      <alignment horizontal="center" vertical="center"/>
    </xf>
    <xf numFmtId="166" fontId="4" fillId="9" borderId="2" xfId="0" applyNumberFormat="1" applyFont="1" applyFill="1" applyBorder="1" applyAlignment="1">
      <alignment horizontal="center" vertical="center"/>
    </xf>
    <xf numFmtId="169" fontId="14" fillId="3" borderId="5" xfId="0" applyNumberFormat="1" applyFont="1" applyFill="1" applyBorder="1" applyAlignment="1">
      <alignment horizontal="center" vertical="center" readingOrder="1"/>
    </xf>
    <xf numFmtId="169" fontId="14" fillId="18" borderId="5" xfId="0" applyNumberFormat="1" applyFont="1" applyFill="1" applyBorder="1" applyAlignment="1">
      <alignment horizontal="center" vertical="center" readingOrder="2"/>
    </xf>
    <xf numFmtId="169" fontId="17" fillId="17" borderId="40" xfId="0" applyNumberFormat="1" applyFont="1" applyFill="1" applyBorder="1" applyAlignment="1">
      <alignment horizontal="center" vertical="center" readingOrder="2"/>
    </xf>
    <xf numFmtId="169" fontId="17" fillId="17" borderId="37" xfId="0" applyNumberFormat="1" applyFont="1" applyFill="1" applyBorder="1" applyAlignment="1">
      <alignment horizontal="center" vertical="center" readingOrder="2"/>
    </xf>
    <xf numFmtId="169" fontId="25" fillId="5" borderId="2" xfId="0" applyNumberFormat="1" applyFont="1" applyFill="1" applyBorder="1" applyAlignment="1">
      <alignment horizontal="center" vertical="center" readingOrder="2"/>
    </xf>
    <xf numFmtId="169" fontId="25" fillId="0" borderId="0" xfId="0" applyNumberFormat="1" applyFont="1" applyBorder="1" applyAlignment="1">
      <alignment horizontal="center" vertical="center" readingOrder="2"/>
    </xf>
    <xf numFmtId="169" fontId="17" fillId="0" borderId="0" xfId="0" applyNumberFormat="1" applyFont="1" applyBorder="1" applyAlignment="1">
      <alignment horizontal="center" vertical="center" wrapText="1" readingOrder="1"/>
    </xf>
    <xf numFmtId="169" fontId="25" fillId="5" borderId="38" xfId="0" applyNumberFormat="1" applyFont="1" applyFill="1" applyBorder="1" applyAlignment="1">
      <alignment horizontal="center" vertical="center" readingOrder="2"/>
    </xf>
    <xf numFmtId="167" fontId="20" fillId="11" borderId="2" xfId="0" applyNumberFormat="1" applyFont="1" applyFill="1" applyBorder="1" applyAlignment="1" applyProtection="1">
      <alignment horizontal="center" vertical="center" wrapText="1" readingOrder="2"/>
      <protection hidden="1"/>
    </xf>
    <xf numFmtId="168" fontId="20" fillId="11" borderId="2" xfId="0" applyNumberFormat="1" applyFont="1" applyFill="1" applyBorder="1" applyAlignment="1" applyProtection="1">
      <alignment horizontal="center" vertical="center" wrapText="1" readingOrder="2"/>
      <protection hidden="1"/>
    </xf>
    <xf numFmtId="168" fontId="60" fillId="14" borderId="14" xfId="0" applyNumberFormat="1" applyFont="1" applyFill="1" applyBorder="1" applyAlignment="1">
      <alignment horizontal="left" vertical="center" readingOrder="2"/>
    </xf>
    <xf numFmtId="168" fontId="60" fillId="14" borderId="14" xfId="0" applyNumberFormat="1" applyFont="1" applyFill="1" applyBorder="1" applyAlignment="1">
      <alignment horizontal="right" vertical="center" readingOrder="2"/>
    </xf>
    <xf numFmtId="169" fontId="43" fillId="0" borderId="0" xfId="0" applyNumberFormat="1" applyFont="1" applyBorder="1" applyAlignment="1">
      <alignment horizontal="right" vertical="center" readingOrder="2"/>
    </xf>
    <xf numFmtId="166" fontId="4" fillId="2" borderId="2" xfId="0" applyNumberFormat="1" applyFont="1" applyFill="1" applyBorder="1" applyAlignment="1">
      <alignment horizontal="center" vertical="center"/>
    </xf>
    <xf numFmtId="169" fontId="25" fillId="0" borderId="2" xfId="0" applyNumberFormat="1" applyFont="1" applyBorder="1" applyAlignment="1">
      <alignment horizontal="center" vertical="center" readingOrder="2"/>
    </xf>
    <xf numFmtId="0" fontId="0" fillId="0" borderId="32" xfId="0" applyBorder="1" applyAlignment="1">
      <alignment vertical="center" wrapText="1"/>
    </xf>
    <xf numFmtId="3" fontId="5" fillId="0" borderId="32" xfId="0" applyNumberFormat="1" applyFont="1" applyBorder="1" applyAlignment="1">
      <alignment horizontal="center" vertical="center" readingOrder="2"/>
    </xf>
    <xf numFmtId="169" fontId="43" fillId="0" borderId="32" xfId="0" applyNumberFormat="1" applyFont="1" applyBorder="1" applyAlignment="1">
      <alignment horizontal="right" vertical="center" readingOrder="2"/>
    </xf>
    <xf numFmtId="165" fontId="5" fillId="0" borderId="32" xfId="0" applyNumberFormat="1" applyFont="1" applyBorder="1" applyAlignment="1">
      <alignment horizontal="right" vertical="center" readingOrder="2"/>
    </xf>
    <xf numFmtId="3" fontId="3" fillId="0" borderId="32" xfId="0" applyNumberFormat="1" applyFont="1" applyBorder="1" applyAlignment="1">
      <alignment horizontal="right" vertical="center" readingOrder="2"/>
    </xf>
    <xf numFmtId="166" fontId="4" fillId="2" borderId="32" xfId="0" applyNumberFormat="1" applyFont="1" applyFill="1" applyBorder="1" applyAlignment="1">
      <alignment horizontal="center" vertical="center"/>
    </xf>
    <xf numFmtId="3" fontId="4" fillId="0" borderId="32" xfId="0" applyNumberFormat="1" applyFont="1" applyBorder="1" applyAlignment="1">
      <alignment horizontal="left" vertical="center" readingOrder="2"/>
    </xf>
    <xf numFmtId="165" fontId="4" fillId="0" borderId="32" xfId="0" applyNumberFormat="1" applyFont="1" applyBorder="1" applyAlignment="1">
      <alignment horizontal="right" vertical="center" readingOrder="2"/>
    </xf>
    <xf numFmtId="164" fontId="9" fillId="0" borderId="32" xfId="0" applyNumberFormat="1" applyFont="1" applyBorder="1" applyAlignment="1">
      <alignment horizontal="left" vertical="center"/>
    </xf>
    <xf numFmtId="3" fontId="56" fillId="14" borderId="2" xfId="0" applyNumberFormat="1" applyFont="1" applyFill="1" applyBorder="1" applyAlignment="1">
      <alignment horizontal="right" vertical="center" readingOrder="2"/>
    </xf>
    <xf numFmtId="0" fontId="0" fillId="0" borderId="4" xfId="0" applyBorder="1"/>
    <xf numFmtId="3" fontId="3" fillId="0" borderId="13" xfId="0" applyNumberFormat="1" applyFont="1" applyBorder="1" applyAlignment="1">
      <alignment horizontal="center" vertical="center" wrapText="1" readingOrder="2"/>
    </xf>
    <xf numFmtId="0" fontId="0" fillId="0" borderId="13" xfId="0" applyBorder="1"/>
    <xf numFmtId="3" fontId="3" fillId="0" borderId="0" xfId="0" applyNumberFormat="1" applyFont="1" applyBorder="1" applyAlignment="1">
      <alignment horizontal="center" vertical="center" wrapText="1" readingOrder="2"/>
    </xf>
    <xf numFmtId="3" fontId="58" fillId="14" borderId="2" xfId="0" applyNumberFormat="1" applyFont="1" applyFill="1" applyBorder="1" applyAlignment="1">
      <alignment horizontal="center" vertical="center" readingOrder="2"/>
    </xf>
    <xf numFmtId="3" fontId="4" fillId="0" borderId="32" xfId="0" applyNumberFormat="1" applyFont="1" applyAlignment="1">
      <alignment horizontal="center" vertical="center" wrapText="1" readingOrder="2"/>
    </xf>
    <xf numFmtId="3" fontId="5" fillId="0" borderId="0" xfId="0" applyNumberFormat="1" applyFont="1" applyBorder="1" applyAlignment="1">
      <alignment horizontal="center" vertical="center" wrapText="1" readingOrder="2"/>
    </xf>
    <xf numFmtId="3" fontId="59" fillId="14" borderId="2" xfId="0" applyNumberFormat="1" applyFont="1" applyFill="1" applyBorder="1" applyAlignment="1">
      <alignment horizontal="center" vertical="center" readingOrder="2"/>
    </xf>
    <xf numFmtId="0" fontId="0" fillId="0" borderId="3" xfId="0" applyBorder="1"/>
    <xf numFmtId="0" fontId="58" fillId="12" borderId="2" xfId="0" applyFont="1" applyFill="1" applyBorder="1" applyAlignment="1">
      <alignment horizontal="center" readingOrder="1"/>
    </xf>
    <xf numFmtId="0" fontId="58" fillId="12" borderId="2" xfId="0" applyFont="1" applyFill="1" applyBorder="1" applyAlignment="1">
      <alignment horizontal="center" readingOrder="2"/>
    </xf>
    <xf numFmtId="3" fontId="20" fillId="0" borderId="32" xfId="0" applyNumberFormat="1" applyFont="1" applyAlignment="1" applyProtection="1">
      <alignment vertical="center" wrapText="1" readingOrder="2"/>
      <protection hidden="1"/>
    </xf>
    <xf numFmtId="0" fontId="0" fillId="0" borderId="0" xfId="0" applyBorder="1" applyProtection="1">
      <protection hidden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(Main!$B$6,Main!$C$8,Main!$C$10,Main!$C$12,Main!$C$14,Main!$C$16,Main!$C$18,Main!$C$20,Main!$C$22,Main!$C$24,Main!$C$26)</c:f>
              <c:strCache>
                <c:ptCount val="8"/>
                <c:pt idx="0">
                  <c:v>דירוג הרייטינג היחסי הכולל</c:v>
                </c:pt>
                <c:pt idx="1">
                  <c:v>מדדים תעריפיים</c:v>
                </c:pt>
                <c:pt idx="2">
                  <c:v>ערכיות רב-שכבתית</c:v>
                </c:pt>
                <c:pt idx="3">
                  <c:v>גודל ופריסה</c:v>
                </c:pt>
                <c:pt idx="4">
                  <c:v>רמת שירות וממשקים</c:v>
                </c:pt>
                <c:pt idx="5">
                  <c:v>אמינות ושקיפות</c:v>
                </c:pt>
                <c:pt idx="6">
                  <c:v>סייבר ושמירת פרטיות</c:v>
                </c:pt>
                <c:pt idx="7">
                  <c:v>נוכחות דיגיטלית</c:v>
                </c:pt>
              </c:strCache>
            </c:strRef>
          </c:cat>
          <c:val>
            <c:numRef>
              <c:f>(Main!$I$6,Main!$I$8,Main!$I$10,Main!$I$12,Main!$I$14,Main!$I$16,Main!$I$18,Main!$I$20,Main!$I$22,Main!$I$24,Main!$I$26)</c:f>
              <c:numCache>
                <c:formatCode>#,##0.0</c:formatCode>
                <c:ptCount val="8"/>
                <c:pt idx="0">
                  <c:v>2.9947637602319928</c:v>
                </c:pt>
                <c:pt idx="1">
                  <c:v>4.8051948051948052</c:v>
                </c:pt>
                <c:pt idx="2">
                  <c:v>2.6934761645995819</c:v>
                </c:pt>
                <c:pt idx="3">
                  <c:v>2.4507952014874483</c:v>
                </c:pt>
                <c:pt idx="4">
                  <c:v>0</c:v>
                </c:pt>
                <c:pt idx="5">
                  <c:v>3.6</c:v>
                </c:pt>
                <c:pt idx="6">
                  <c:v>3.75</c:v>
                </c:pt>
                <c:pt idx="7">
                  <c:v>3.9121419020145018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1-4F67-AD22-C3B5E659A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456320"/>
        <c:axId val="515455336"/>
      </c:radarChart>
      <c:catAx>
        <c:axId val="5154563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15455336"/>
        <c:crosses val="autoZero"/>
        <c:auto val="1"/>
        <c:lblAlgn val="ctr"/>
        <c:lblOffset val="100"/>
        <c:noMultiLvlLbl val="0"/>
      </c:catAx>
      <c:valAx>
        <c:axId val="51545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1545632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2271156</xdr:colOff>
      <xdr:row>4</xdr:row>
      <xdr:rowOff>97559</xdr:rowOff>
    </xdr:from>
    <xdr:to>
      <xdr:col>9</xdr:col>
      <xdr:colOff>46182</xdr:colOff>
      <xdr:row>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V272"/>
  <sheetViews>
    <sheetView showGridLines="0" rightToLeft="1" zoomScale="55" zoomScaleNormal="55" workbookViewId="0"/>
  </sheetViews>
  <sheetFormatPr defaultColWidth="9" defaultRowHeight="16.5" x14ac:dyDescent="0.3"/>
  <cols>
    <col min="1" max="1" width="3.25" style="15" customWidth="1"/>
    <col min="2" max="2" width="11.4140625" style="50" customWidth="1"/>
    <col min="3" max="3" width="7.6640625" style="50" customWidth="1"/>
    <col min="4" max="4" width="6.75" style="308" customWidth="1"/>
    <col min="5" max="5" width="8.6640625" style="310" customWidth="1"/>
    <col min="6" max="6" width="18.6640625" style="310" customWidth="1"/>
    <col min="7" max="7" width="18.25" style="310" customWidth="1"/>
    <col min="8" max="8" width="26.4140625" style="15" customWidth="1"/>
    <col min="9" max="9" width="12.9140625" style="310" customWidth="1"/>
    <col min="10" max="11" width="8.75" style="15" customWidth="1"/>
    <col min="12" max="12" width="33.75" style="15" customWidth="1"/>
    <col min="13" max="13" width="8.75" style="15" customWidth="1"/>
    <col min="14" max="14" width="6.1640625" customWidth="1"/>
    <col min="15" max="15" width="18" style="310" customWidth="1"/>
    <col min="16" max="16" width="10" style="310" customWidth="1"/>
    <col min="17" max="17" width="14" style="14" bestFit="1" customWidth="1"/>
    <col min="18" max="18" width="4" style="14" customWidth="1"/>
    <col min="19" max="19" width="19.4140625" style="3" customWidth="1"/>
    <col min="20" max="20" width="54.4140625" style="9" customWidth="1"/>
    <col min="21" max="21" width="6.25" style="124" customWidth="1"/>
    <col min="22" max="22" width="3.25" style="3" customWidth="1"/>
    <col min="23" max="27" width="9" style="3" customWidth="1"/>
    <col min="28" max="16384" width="9" style="3"/>
  </cols>
  <sheetData>
    <row r="1" spans="1:22" s="4" customFormat="1" ht="15" customHeight="1" x14ac:dyDescent="0.3">
      <c r="A1" s="33"/>
      <c r="B1" s="49"/>
      <c r="C1" s="49"/>
      <c r="D1" s="14"/>
      <c r="E1" s="14"/>
      <c r="F1" s="14"/>
      <c r="G1" s="14"/>
      <c r="H1" s="3"/>
      <c r="I1" s="14"/>
      <c r="J1" s="3"/>
      <c r="K1" s="3"/>
      <c r="L1" s="3"/>
      <c r="M1" s="3"/>
      <c r="N1" s="14"/>
      <c r="O1" s="14"/>
      <c r="P1" s="14"/>
      <c r="U1" s="124"/>
    </row>
    <row r="2" spans="1:22" s="4" customFormat="1" ht="25" customHeight="1" x14ac:dyDescent="0.3">
      <c r="A2" s="32"/>
      <c r="B2" s="160" t="s">
        <v>0</v>
      </c>
      <c r="C2" s="84"/>
      <c r="D2" s="84"/>
      <c r="E2" s="109"/>
      <c r="F2" s="109"/>
      <c r="G2" s="109"/>
      <c r="H2" s="109" t="s">
        <v>1</v>
      </c>
      <c r="I2" s="131">
        <v>23</v>
      </c>
      <c r="J2" s="88" t="s">
        <v>2</v>
      </c>
      <c r="K2" s="88"/>
      <c r="L2" s="88"/>
      <c r="M2" s="88"/>
      <c r="N2" s="89"/>
      <c r="O2" s="89"/>
      <c r="P2" s="84"/>
      <c r="T2" s="8"/>
      <c r="U2" s="124"/>
    </row>
    <row r="3" spans="1:22" s="4" customFormat="1" ht="8" customHeight="1" x14ac:dyDescent="0.3">
      <c r="A3" s="34"/>
      <c r="B3" s="161"/>
      <c r="C3" s="85"/>
      <c r="D3" s="85"/>
      <c r="E3" s="90"/>
      <c r="F3" s="90"/>
      <c r="G3" s="90"/>
      <c r="H3" s="91"/>
      <c r="I3" s="44"/>
      <c r="J3" s="17"/>
      <c r="K3" s="17"/>
      <c r="L3" s="17"/>
      <c r="M3" s="17"/>
      <c r="N3" s="44"/>
      <c r="O3" s="44"/>
      <c r="P3" s="44"/>
      <c r="T3" s="8"/>
      <c r="U3" s="124"/>
    </row>
    <row r="4" spans="1:22" ht="19.5" customHeight="1" x14ac:dyDescent="0.3">
      <c r="A4" s="34"/>
      <c r="B4" s="162" t="s">
        <v>3</v>
      </c>
      <c r="C4" s="86"/>
      <c r="D4" s="86"/>
      <c r="E4" s="92"/>
      <c r="F4" s="92" t="s">
        <v>4</v>
      </c>
      <c r="G4" s="93" t="s">
        <v>5</v>
      </c>
      <c r="H4" s="93" t="s">
        <v>6</v>
      </c>
      <c r="I4" s="94"/>
      <c r="J4" s="95" t="s">
        <v>7</v>
      </c>
      <c r="K4" s="95"/>
      <c r="L4" s="95"/>
      <c r="M4" s="95"/>
      <c r="N4" s="96"/>
      <c r="O4" s="86"/>
      <c r="P4" s="86"/>
      <c r="T4" s="167" t="s">
        <v>8</v>
      </c>
    </row>
    <row r="5" spans="1:22" ht="56" customHeight="1" thickBot="1" x14ac:dyDescent="0.35">
      <c r="A5" s="34"/>
      <c r="B5" s="87"/>
      <c r="C5" s="87"/>
      <c r="D5" s="110"/>
      <c r="E5" s="111"/>
      <c r="F5" s="111"/>
      <c r="H5" s="154" t="s">
        <v>9</v>
      </c>
      <c r="I5" s="112"/>
      <c r="J5" s="113"/>
      <c r="K5" s="113"/>
      <c r="L5" s="113"/>
      <c r="M5" s="113"/>
      <c r="N5" s="114"/>
      <c r="O5" s="87"/>
      <c r="P5" s="87"/>
      <c r="T5" s="168" t="s">
        <v>10</v>
      </c>
      <c r="U5" s="125"/>
    </row>
    <row r="6" spans="1:22" s="4" customFormat="1" ht="39.5" customHeight="1" thickBot="1" x14ac:dyDescent="0.35">
      <c r="A6" s="35"/>
      <c r="B6" s="83" t="s">
        <v>11</v>
      </c>
      <c r="D6" s="3"/>
      <c r="G6" s="128" t="s">
        <v>12</v>
      </c>
      <c r="H6" s="155" t="s">
        <v>13</v>
      </c>
      <c r="I6" s="73">
        <f ca="1">(I8*H8 + I10*H10 + I12*H12 + I14*H14 + I16*H16 + I18*H18 + I22*H22)/SUM(H8,H10,H12,H14,H16,H18,H20,H22)</f>
        <v>2.9947637602319928</v>
      </c>
      <c r="J6" s="51"/>
      <c r="K6" s="247"/>
      <c r="L6" s="247"/>
      <c r="M6" s="247"/>
      <c r="N6" s="247"/>
      <c r="S6" s="81"/>
      <c r="T6" s="170"/>
      <c r="U6" s="81"/>
      <c r="V6" s="81"/>
    </row>
    <row r="7" spans="1:22" ht="7" customHeight="1" x14ac:dyDescent="0.3">
      <c r="A7" s="35"/>
      <c r="B7" s="52"/>
      <c r="C7" s="308"/>
      <c r="E7" s="16"/>
      <c r="F7" s="16"/>
      <c r="G7" s="16"/>
      <c r="I7" s="43"/>
      <c r="J7" s="53"/>
      <c r="K7" s="247"/>
      <c r="L7" s="248"/>
      <c r="M7" s="248"/>
      <c r="N7" s="247"/>
      <c r="T7" s="14"/>
    </row>
    <row r="8" spans="1:22" ht="23" customHeight="1" x14ac:dyDescent="0.3">
      <c r="A8" s="35"/>
      <c r="B8" s="74">
        <v>1</v>
      </c>
      <c r="C8" s="54" t="s">
        <v>14</v>
      </c>
      <c r="E8" s="54"/>
      <c r="F8" s="54"/>
      <c r="G8" s="54"/>
      <c r="H8" s="174">
        <v>1.8</v>
      </c>
      <c r="I8" s="55">
        <f>I30</f>
        <v>4.8051948051948052</v>
      </c>
      <c r="J8" s="51"/>
      <c r="K8" s="247"/>
      <c r="L8" s="248"/>
      <c r="M8" s="248"/>
      <c r="N8" s="247"/>
      <c r="T8" s="171"/>
    </row>
    <row r="9" spans="1:22" ht="9" customHeight="1" x14ac:dyDescent="0.3">
      <c r="A9" s="35"/>
      <c r="B9" s="74"/>
      <c r="C9" s="57"/>
      <c r="E9" s="56"/>
      <c r="F9" s="56"/>
      <c r="G9" s="56"/>
      <c r="H9" s="249"/>
      <c r="I9" s="250"/>
      <c r="J9" s="53"/>
      <c r="K9" s="247"/>
      <c r="L9" s="248"/>
      <c r="M9" s="248"/>
      <c r="N9" s="247"/>
      <c r="T9" s="39"/>
    </row>
    <row r="10" spans="1:22" ht="23" customHeight="1" x14ac:dyDescent="0.3">
      <c r="A10" s="35"/>
      <c r="B10" s="74">
        <v>2</v>
      </c>
      <c r="C10" s="54" t="str">
        <f>C76</f>
        <v>ערכיות רב-שכבתית</v>
      </c>
      <c r="E10" s="54"/>
      <c r="F10" s="54"/>
      <c r="G10" s="54"/>
      <c r="H10" s="174">
        <v>2</v>
      </c>
      <c r="I10" s="55">
        <f>I76</f>
        <v>2.6934761645995819</v>
      </c>
      <c r="J10" s="51"/>
      <c r="K10" s="247"/>
      <c r="L10" s="248"/>
      <c r="M10" s="248"/>
      <c r="N10" s="247"/>
      <c r="T10" s="171"/>
    </row>
    <row r="11" spans="1:22" ht="9" customHeight="1" x14ac:dyDescent="0.3">
      <c r="A11" s="35"/>
      <c r="B11" s="74"/>
      <c r="C11" s="57"/>
      <c r="E11" s="57"/>
      <c r="F11" s="57"/>
      <c r="G11" s="57"/>
      <c r="H11" s="249"/>
      <c r="I11" s="250"/>
      <c r="J11" s="51"/>
      <c r="K11" s="247"/>
      <c r="L11" s="248"/>
      <c r="M11" s="248"/>
      <c r="N11" s="247"/>
      <c r="T11" s="39"/>
    </row>
    <row r="12" spans="1:22" ht="23" customHeight="1" x14ac:dyDescent="0.3">
      <c r="A12" s="33"/>
      <c r="B12" s="74">
        <v>3</v>
      </c>
      <c r="C12" s="54" t="str">
        <f>C159</f>
        <v>גודל ופריסה</v>
      </c>
      <c r="E12" s="54"/>
      <c r="F12" s="54"/>
      <c r="G12" s="54"/>
      <c r="H12" s="174">
        <v>1.8</v>
      </c>
      <c r="I12" s="55">
        <f ca="1">I159</f>
        <v>2.4507952014874483</v>
      </c>
      <c r="J12" s="51"/>
      <c r="K12" s="247"/>
      <c r="L12" s="248"/>
      <c r="M12" s="248"/>
      <c r="N12" s="247"/>
      <c r="T12" s="171"/>
    </row>
    <row r="13" spans="1:22" ht="9" customHeight="1" x14ac:dyDescent="0.3">
      <c r="A13" s="33"/>
      <c r="B13" s="74"/>
      <c r="C13" s="57"/>
      <c r="E13" s="57"/>
      <c r="F13" s="57"/>
      <c r="G13" s="57"/>
      <c r="H13" s="249"/>
      <c r="I13" s="250"/>
      <c r="J13" s="51"/>
      <c r="K13" s="247"/>
      <c r="L13" s="248"/>
      <c r="M13" s="248"/>
      <c r="N13" s="247"/>
      <c r="T13" s="39"/>
    </row>
    <row r="14" spans="1:22" ht="23" customHeight="1" x14ac:dyDescent="0.3">
      <c r="A14" s="33"/>
      <c r="B14" s="74">
        <v>4</v>
      </c>
      <c r="C14" s="58" t="str">
        <f>C165</f>
        <v>רמת שירות וממשקים</v>
      </c>
      <c r="E14" s="57"/>
      <c r="F14" s="57"/>
      <c r="G14" s="57"/>
      <c r="H14" s="174">
        <v>1.4</v>
      </c>
      <c r="I14" s="55">
        <f>I165</f>
        <v>0</v>
      </c>
      <c r="J14" s="51"/>
      <c r="K14" s="247"/>
      <c r="L14" s="248"/>
      <c r="M14" s="248"/>
      <c r="N14" s="247"/>
      <c r="T14" s="171"/>
    </row>
    <row r="15" spans="1:22" ht="9" customHeight="1" x14ac:dyDescent="0.3">
      <c r="A15" s="33"/>
      <c r="B15" s="74"/>
      <c r="C15" s="54"/>
      <c r="E15" s="57"/>
      <c r="F15" s="57"/>
      <c r="G15" s="57"/>
      <c r="H15" s="249"/>
      <c r="I15" s="250"/>
      <c r="J15" s="51"/>
      <c r="K15" s="247"/>
      <c r="L15" s="248"/>
      <c r="M15" s="248"/>
      <c r="N15" s="247"/>
      <c r="T15" s="39"/>
    </row>
    <row r="16" spans="1:22" ht="23" customHeight="1" x14ac:dyDescent="0.3">
      <c r="A16" s="33"/>
      <c r="B16" s="74">
        <v>5</v>
      </c>
      <c r="C16" s="58" t="str">
        <f>C172</f>
        <v>אמינות ושקיפות</v>
      </c>
      <c r="E16" s="58"/>
      <c r="F16" s="58"/>
      <c r="G16" s="58"/>
      <c r="H16" s="174">
        <v>1.5</v>
      </c>
      <c r="I16" s="55">
        <f>I172</f>
        <v>3.6</v>
      </c>
      <c r="J16" s="51"/>
      <c r="K16" s="247"/>
      <c r="L16" s="248"/>
      <c r="M16" s="248"/>
      <c r="N16" s="247"/>
      <c r="T16" s="171"/>
    </row>
    <row r="17" spans="1:22" ht="9" customHeight="1" x14ac:dyDescent="0.3">
      <c r="A17" s="33"/>
      <c r="B17" s="74"/>
      <c r="C17" s="54"/>
      <c r="E17" s="54"/>
      <c r="F17" s="54"/>
      <c r="G17" s="54"/>
      <c r="H17" s="249"/>
      <c r="I17" s="250"/>
      <c r="J17" s="51"/>
      <c r="K17" s="247"/>
      <c r="L17" s="248"/>
      <c r="M17" s="248"/>
      <c r="N17" s="247"/>
      <c r="T17" s="39"/>
    </row>
    <row r="18" spans="1:22" ht="23" customHeight="1" x14ac:dyDescent="0.3">
      <c r="A18" s="33"/>
      <c r="B18" s="74">
        <v>6</v>
      </c>
      <c r="C18" s="75" t="str">
        <f>C179</f>
        <v>סייבר ושמירת פרטיות</v>
      </c>
      <c r="E18" s="54"/>
      <c r="F18" s="54"/>
      <c r="G18" s="54"/>
      <c r="H18" s="174">
        <v>1.4</v>
      </c>
      <c r="I18" s="55">
        <f>I179</f>
        <v>3.75</v>
      </c>
      <c r="J18" s="51"/>
      <c r="K18" s="247"/>
      <c r="L18" s="248"/>
      <c r="M18" s="248"/>
      <c r="N18" s="247"/>
      <c r="T18" s="171"/>
    </row>
    <row r="19" spans="1:22" ht="9" customHeight="1" x14ac:dyDescent="0.3">
      <c r="A19" s="33"/>
      <c r="B19" s="74"/>
      <c r="C19" s="54"/>
      <c r="E19" s="54"/>
      <c r="F19" s="54"/>
      <c r="G19" s="54"/>
      <c r="H19" s="249"/>
      <c r="I19" s="250"/>
      <c r="J19" s="51"/>
      <c r="K19" s="247"/>
      <c r="L19" s="248"/>
      <c r="M19" s="248"/>
      <c r="N19" s="247"/>
      <c r="T19" s="39"/>
    </row>
    <row r="20" spans="1:22" ht="23" hidden="1" customHeight="1" x14ac:dyDescent="0.3">
      <c r="A20" s="33"/>
      <c r="B20" s="74"/>
      <c r="C20" s="58"/>
      <c r="E20" s="54"/>
      <c r="F20" s="54"/>
      <c r="G20" s="54"/>
      <c r="H20" s="174"/>
      <c r="I20" s="55"/>
      <c r="J20" s="51"/>
      <c r="K20" s="247"/>
      <c r="L20" s="248"/>
      <c r="M20" s="248"/>
      <c r="N20" s="247"/>
      <c r="T20" s="171"/>
    </row>
    <row r="21" spans="1:22" ht="9" hidden="1" customHeight="1" x14ac:dyDescent="0.3">
      <c r="A21" s="33"/>
      <c r="B21" s="74"/>
      <c r="C21" s="54"/>
      <c r="E21" s="54"/>
      <c r="F21" s="54"/>
      <c r="G21" s="54"/>
      <c r="H21" s="249"/>
      <c r="I21" s="250"/>
      <c r="J21" s="51"/>
      <c r="K21" s="247"/>
      <c r="L21" s="248"/>
      <c r="M21" s="248"/>
      <c r="N21" s="247"/>
      <c r="T21" s="40"/>
    </row>
    <row r="22" spans="1:22" ht="23" customHeight="1" x14ac:dyDescent="0.3">
      <c r="A22" s="33"/>
      <c r="B22" s="74">
        <v>7</v>
      </c>
      <c r="C22" s="58" t="str">
        <f>C197</f>
        <v>נוכחות דיגיטלית</v>
      </c>
      <c r="E22" s="54"/>
      <c r="F22" s="54"/>
      <c r="G22" s="54"/>
      <c r="H22" s="174">
        <v>0.6</v>
      </c>
      <c r="I22" s="55">
        <f>I197</f>
        <v>3.9121419020145018</v>
      </c>
      <c r="J22" s="51"/>
      <c r="K22" s="247"/>
      <c r="L22" s="248"/>
      <c r="M22" s="248"/>
      <c r="N22" s="247"/>
      <c r="T22" s="171"/>
    </row>
    <row r="23" spans="1:22" ht="9" hidden="1" customHeight="1" x14ac:dyDescent="0.3">
      <c r="A23" s="33"/>
      <c r="B23" s="74"/>
      <c r="C23" s="57"/>
      <c r="E23" s="54"/>
      <c r="F23" s="54"/>
      <c r="G23" s="54"/>
      <c r="H23" s="249"/>
      <c r="I23" s="250"/>
      <c r="J23" s="51"/>
      <c r="K23" s="247"/>
      <c r="L23" s="248"/>
      <c r="M23" s="248"/>
      <c r="N23" s="247"/>
      <c r="T23" s="39"/>
    </row>
    <row r="24" spans="1:22" ht="23" hidden="1" customHeight="1" x14ac:dyDescent="0.3">
      <c r="A24" s="33"/>
      <c r="B24" s="74"/>
      <c r="C24" s="54"/>
      <c r="E24" s="54"/>
      <c r="F24" s="54"/>
      <c r="G24" s="54"/>
      <c r="H24" s="249"/>
      <c r="I24" s="251"/>
      <c r="J24" s="51"/>
      <c r="K24" s="247"/>
      <c r="L24" s="248"/>
      <c r="M24" s="248"/>
      <c r="N24" s="247"/>
      <c r="T24" s="171"/>
    </row>
    <row r="25" spans="1:22" ht="9" hidden="1" customHeight="1" x14ac:dyDescent="0.3">
      <c r="A25" s="33"/>
      <c r="B25" s="74"/>
      <c r="C25" s="57"/>
      <c r="E25" s="57"/>
      <c r="F25" s="57"/>
      <c r="G25" s="57"/>
      <c r="H25" s="249"/>
      <c r="I25" s="250"/>
      <c r="J25" s="51"/>
      <c r="K25" s="247"/>
      <c r="L25" s="248"/>
      <c r="M25" s="248"/>
      <c r="N25" s="247"/>
      <c r="T25" s="40"/>
    </row>
    <row r="26" spans="1:22" ht="23.5" hidden="1" customHeight="1" thickBot="1" x14ac:dyDescent="0.35">
      <c r="A26" s="33"/>
      <c r="B26" s="74"/>
      <c r="C26" s="58"/>
      <c r="E26" s="59"/>
      <c r="F26" s="59"/>
      <c r="G26" s="59"/>
      <c r="H26" s="249"/>
      <c r="I26" s="251"/>
      <c r="J26" s="51"/>
      <c r="K26" s="247"/>
      <c r="L26" s="247"/>
      <c r="M26" s="247"/>
      <c r="N26" s="247"/>
      <c r="T26" s="171"/>
    </row>
    <row r="27" spans="1:22" ht="8.5" hidden="1" customHeight="1" x14ac:dyDescent="0.3">
      <c r="A27" s="6"/>
      <c r="B27" s="20"/>
      <c r="C27" s="252"/>
      <c r="D27" s="252"/>
      <c r="F27" s="253"/>
      <c r="H27" s="254"/>
      <c r="I27" s="255"/>
      <c r="J27" s="17"/>
      <c r="K27" s="17"/>
      <c r="L27" s="17"/>
      <c r="M27" s="17"/>
      <c r="N27" s="44"/>
      <c r="T27" s="169"/>
    </row>
    <row r="28" spans="1:22" ht="23" hidden="1" customHeight="1" x14ac:dyDescent="0.3">
      <c r="A28" s="6"/>
      <c r="B28" s="74"/>
      <c r="C28" s="54"/>
      <c r="E28" s="256"/>
      <c r="F28" s="256"/>
      <c r="G28" s="256"/>
      <c r="H28" s="249"/>
      <c r="I28" s="251"/>
      <c r="J28" s="17"/>
      <c r="K28" s="17"/>
      <c r="L28" s="17"/>
      <c r="M28" s="17"/>
      <c r="N28" s="44"/>
      <c r="T28" s="169"/>
    </row>
    <row r="29" spans="1:22" ht="17.5" customHeight="1" thickBot="1" x14ac:dyDescent="0.35">
      <c r="A29" s="6"/>
      <c r="B29" s="20"/>
      <c r="C29" s="252"/>
      <c r="D29" s="252"/>
      <c r="F29" s="253"/>
      <c r="H29" s="254"/>
      <c r="I29" s="255"/>
      <c r="J29" s="17"/>
      <c r="K29" s="17"/>
      <c r="L29" s="17"/>
      <c r="M29" s="257"/>
      <c r="N29" s="258"/>
      <c r="O29" s="255"/>
      <c r="P29" s="255"/>
      <c r="Q29" s="257"/>
      <c r="R29" s="257"/>
      <c r="S29" s="259"/>
      <c r="T29" s="169"/>
    </row>
    <row r="30" spans="1:22" s="6" customFormat="1" ht="23.5" customHeight="1" thickBot="1" x14ac:dyDescent="0.35">
      <c r="A30" s="37"/>
      <c r="B30" s="127">
        <v>1</v>
      </c>
      <c r="C30" s="108" t="s">
        <v>15</v>
      </c>
      <c r="D30" s="38"/>
      <c r="E30" s="38"/>
      <c r="F30" s="38"/>
      <c r="G30" s="10"/>
      <c r="H30" s="72" t="s">
        <v>16</v>
      </c>
      <c r="I30" s="311">
        <f>(I32*9+I54+I67)/11</f>
        <v>4.8051948051948052</v>
      </c>
      <c r="J30" s="5"/>
      <c r="K30" s="136"/>
      <c r="L30" s="2"/>
      <c r="M30" s="5"/>
      <c r="N30" s="260" t="s">
        <v>17</v>
      </c>
      <c r="Q30" s="5"/>
      <c r="R30" s="5"/>
      <c r="S30" s="41"/>
      <c r="T30" s="173"/>
      <c r="U30" s="125"/>
      <c r="V30" s="5"/>
    </row>
    <row r="31" spans="1:22" s="6" customFormat="1" ht="15.5" customHeight="1" thickBot="1" x14ac:dyDescent="0.4">
      <c r="A31" s="37"/>
      <c r="G31" s="10"/>
      <c r="H31" s="100" t="s">
        <v>18</v>
      </c>
      <c r="I31" s="38"/>
      <c r="J31" s="5"/>
      <c r="K31" s="136"/>
      <c r="L31" s="2"/>
      <c r="M31" s="5"/>
      <c r="N31" s="261" t="s">
        <v>19</v>
      </c>
      <c r="O31" s="262"/>
      <c r="P31" s="263" t="s">
        <v>20</v>
      </c>
      <c r="Q31" s="210"/>
      <c r="R31" s="211"/>
      <c r="S31" s="41"/>
      <c r="T31" s="172"/>
      <c r="U31" s="125"/>
      <c r="V31" s="5"/>
    </row>
    <row r="32" spans="1:22" s="6" customFormat="1" ht="18.5" customHeight="1" thickBot="1" x14ac:dyDescent="0.4">
      <c r="A32" s="37"/>
      <c r="B32" s="30">
        <v>1</v>
      </c>
      <c r="C32" s="99" t="s">
        <v>21</v>
      </c>
      <c r="H32" s="100" t="s">
        <v>22</v>
      </c>
      <c r="I32" s="123">
        <f>(I33*3+I37*3+I41*3)/9</f>
        <v>5</v>
      </c>
      <c r="J32" s="5"/>
      <c r="K32" s="136"/>
      <c r="L32" s="2"/>
      <c r="M32" s="5"/>
      <c r="N32" s="212">
        <v>1</v>
      </c>
      <c r="O32" s="243" t="s">
        <v>23</v>
      </c>
      <c r="P32" s="213">
        <v>0</v>
      </c>
      <c r="Q32" s="210"/>
      <c r="R32" s="211"/>
      <c r="S32" s="41"/>
      <c r="T32" s="172"/>
      <c r="U32" s="125"/>
      <c r="V32" s="5"/>
    </row>
    <row r="33" spans="1:22" s="6" customFormat="1" ht="15.5" customHeight="1" thickBot="1" x14ac:dyDescent="0.4">
      <c r="A33" s="37"/>
      <c r="B33" s="30"/>
      <c r="C33" s="101">
        <v>1.1000000000000001</v>
      </c>
      <c r="D33" s="151" t="s">
        <v>24</v>
      </c>
      <c r="F33" s="137"/>
      <c r="G33" s="10"/>
      <c r="H33" s="100" t="s">
        <v>18</v>
      </c>
      <c r="I33" s="117">
        <f>(IF(I34=Normalize!G7,5,IF(I34&lt;Normalize!G7,5,IF(I34&gt;Normalize!I7,0,((I34-Normalize!G7)/(Normalize!I7-Normalize!G7))*5)))+IF(I35=Normalize!G8,5,IF(I35&lt;Normalize!G8,5,IF(I35&gt;Normalize!I8,0,5-((I35-Normalize!G8)/(Normalize!I8-Normalize!G8))*5)))+IF(I36=Normalize!G9,5,IF(I36&lt;Normalize!G9,5,IF(I36&gt;Normalize!I9,0,5-((I36-Normalize!G9)/(Normalize!I9-Normalize!G9))*5))))/3</f>
        <v>5</v>
      </c>
      <c r="J33" s="5"/>
      <c r="K33" s="136"/>
      <c r="L33" s="264" t="s">
        <v>25</v>
      </c>
      <c r="M33" s="5"/>
      <c r="N33" s="214">
        <v>2</v>
      </c>
      <c r="O33" s="244" t="s">
        <v>26</v>
      </c>
      <c r="P33" s="216">
        <v>0</v>
      </c>
      <c r="Q33" s="210"/>
      <c r="R33" s="211"/>
      <c r="S33" s="41"/>
      <c r="T33" s="172"/>
      <c r="U33" s="125"/>
      <c r="V33" s="5"/>
    </row>
    <row r="34" spans="1:22" s="6" customFormat="1" x14ac:dyDescent="0.35">
      <c r="A34" s="37"/>
      <c r="B34" s="30"/>
      <c r="C34" s="101"/>
      <c r="D34" s="101" t="s">
        <v>27</v>
      </c>
      <c r="E34" s="23" t="s">
        <v>28</v>
      </c>
      <c r="G34" s="152"/>
      <c r="H34" s="7" t="s">
        <v>29</v>
      </c>
      <c r="I34" s="139">
        <v>130</v>
      </c>
      <c r="J34" s="5"/>
      <c r="K34" s="265" t="str">
        <f>D34</f>
        <v>1.1.1</v>
      </c>
      <c r="L34" s="46"/>
      <c r="M34" s="5"/>
      <c r="N34" s="214">
        <v>3</v>
      </c>
      <c r="O34" s="244" t="s">
        <v>30</v>
      </c>
      <c r="P34" s="216">
        <v>0</v>
      </c>
      <c r="Q34" s="210"/>
      <c r="R34" s="211"/>
      <c r="S34" s="41"/>
      <c r="T34" s="172"/>
      <c r="U34" s="125"/>
      <c r="V34" s="5"/>
    </row>
    <row r="35" spans="1:22" s="6" customFormat="1" x14ac:dyDescent="0.35">
      <c r="A35" s="37"/>
      <c r="B35" s="30"/>
      <c r="C35" s="101"/>
      <c r="D35" s="101" t="s">
        <v>31</v>
      </c>
      <c r="E35" s="97" t="s">
        <v>32</v>
      </c>
      <c r="G35" s="152"/>
      <c r="H35" s="7" t="s">
        <v>33</v>
      </c>
      <c r="I35" s="145">
        <v>60</v>
      </c>
      <c r="J35" s="5"/>
      <c r="K35" s="265" t="str">
        <f>D35</f>
        <v>1.1.2</v>
      </c>
      <c r="L35" s="46"/>
      <c r="M35" s="5"/>
      <c r="N35" s="214">
        <v>4</v>
      </c>
      <c r="O35" s="244" t="s">
        <v>34</v>
      </c>
      <c r="P35" s="216">
        <v>0</v>
      </c>
      <c r="Q35" s="210"/>
      <c r="R35" s="211"/>
      <c r="S35" s="41"/>
      <c r="T35" s="172"/>
      <c r="U35" s="125"/>
      <c r="V35" s="5"/>
    </row>
    <row r="36" spans="1:22" s="6" customFormat="1" ht="17" customHeight="1" thickBot="1" x14ac:dyDescent="0.4">
      <c r="A36" s="37"/>
      <c r="B36" s="30"/>
      <c r="C36" s="101"/>
      <c r="D36" s="138" t="s">
        <v>35</v>
      </c>
      <c r="E36" s="97" t="s">
        <v>36</v>
      </c>
      <c r="G36" s="152"/>
      <c r="H36" s="7" t="s">
        <v>33</v>
      </c>
      <c r="I36" s="145">
        <v>90</v>
      </c>
      <c r="J36" s="5"/>
      <c r="K36" s="265" t="str">
        <f>D36</f>
        <v>1.1.3</v>
      </c>
      <c r="L36" s="46"/>
      <c r="M36" s="5"/>
      <c r="N36" s="214">
        <v>5</v>
      </c>
      <c r="O36" s="244" t="s">
        <v>37</v>
      </c>
      <c r="P36" s="216">
        <v>5</v>
      </c>
      <c r="Q36" s="210"/>
      <c r="R36" s="211"/>
      <c r="S36" s="41"/>
      <c r="T36" s="172"/>
      <c r="U36" s="125"/>
      <c r="V36" s="5"/>
    </row>
    <row r="37" spans="1:22" s="6" customFormat="1" ht="17" customHeight="1" thickBot="1" x14ac:dyDescent="0.4">
      <c r="A37" s="37"/>
      <c r="C37" s="101">
        <v>1.2</v>
      </c>
      <c r="D37" s="151" t="s">
        <v>38</v>
      </c>
      <c r="F37" s="151"/>
      <c r="G37" s="152"/>
      <c r="H37" s="100" t="s">
        <v>18</v>
      </c>
      <c r="I37" s="117">
        <f>(IF(I38=Normalize!G11,5,IF(I38&lt;Normalize!G11,5,IF(I38&gt;Normalize!I11,0,((I38-Normalize!G11)/(Normalize!I11-Normalize!G11))*5)))+IF(I39=Normalize!G12,5,IF(I39&lt;Normalize!G12,5,IF(I39&gt;Normalize!I12,0,5-((I39-Normalize!G12)/(Normalize!I12-Normalize!G12))*5)))+IF(I40=Normalize!G13,5,IF(I40&lt;Normalize!G13,5,IF(I40&gt;Normalize!I13,0,5-((I40-Normalize!G13)/(Normalize!I13-Normalize!G13))*5))))/3</f>
        <v>5</v>
      </c>
      <c r="J37" s="5"/>
      <c r="K37" s="136"/>
      <c r="L37" s="2"/>
      <c r="M37" s="5"/>
      <c r="N37" s="214">
        <v>6</v>
      </c>
      <c r="O37" s="244" t="s">
        <v>39</v>
      </c>
      <c r="P37" s="216">
        <v>0</v>
      </c>
      <c r="Q37" s="210"/>
      <c r="R37" s="211"/>
      <c r="S37" s="41"/>
      <c r="T37" s="172"/>
      <c r="U37" s="125"/>
      <c r="V37" s="5"/>
    </row>
    <row r="38" spans="1:22" s="6" customFormat="1" x14ac:dyDescent="0.35">
      <c r="A38" s="37"/>
      <c r="C38" s="101"/>
      <c r="D38" s="101" t="s">
        <v>40</v>
      </c>
      <c r="E38" s="23" t="s">
        <v>28</v>
      </c>
      <c r="F38" s="151"/>
      <c r="G38" s="152"/>
      <c r="H38" s="7" t="s">
        <v>29</v>
      </c>
      <c r="I38" s="139">
        <v>60</v>
      </c>
      <c r="J38" s="5"/>
      <c r="K38" s="265" t="str">
        <f>D38</f>
        <v>1.2.1</v>
      </c>
      <c r="L38" s="46"/>
      <c r="M38" s="5"/>
      <c r="N38" s="214">
        <v>7</v>
      </c>
      <c r="O38" s="244" t="s">
        <v>41</v>
      </c>
      <c r="P38" s="216">
        <v>0</v>
      </c>
      <c r="Q38" s="210"/>
      <c r="R38" s="211"/>
      <c r="S38" s="41"/>
      <c r="T38" s="172"/>
      <c r="U38" s="125"/>
      <c r="V38" s="5"/>
    </row>
    <row r="39" spans="1:22" s="6" customFormat="1" x14ac:dyDescent="0.35">
      <c r="A39" s="37"/>
      <c r="C39" s="101"/>
      <c r="D39" s="101" t="s">
        <v>42</v>
      </c>
      <c r="E39" s="97" t="s">
        <v>32</v>
      </c>
      <c r="F39" s="151"/>
      <c r="G39" s="152"/>
      <c r="H39" s="7" t="s">
        <v>33</v>
      </c>
      <c r="I39" s="145">
        <v>20</v>
      </c>
      <c r="J39" s="5"/>
      <c r="K39" s="265" t="str">
        <f>D39</f>
        <v>1.2.2</v>
      </c>
      <c r="L39" s="46"/>
      <c r="M39" s="5"/>
      <c r="N39" s="214">
        <v>8</v>
      </c>
      <c r="O39" s="244" t="s">
        <v>43</v>
      </c>
      <c r="P39" s="216">
        <v>0</v>
      </c>
      <c r="Q39" s="210"/>
      <c r="R39" s="211"/>
      <c r="S39" s="41"/>
      <c r="T39" s="172"/>
      <c r="U39" s="125"/>
      <c r="V39" s="5"/>
    </row>
    <row r="40" spans="1:22" s="6" customFormat="1" ht="17" customHeight="1" thickBot="1" x14ac:dyDescent="0.4">
      <c r="A40" s="37"/>
      <c r="C40" s="101"/>
      <c r="D40" s="101" t="s">
        <v>44</v>
      </c>
      <c r="E40" s="97" t="s">
        <v>36</v>
      </c>
      <c r="F40" s="151"/>
      <c r="G40" s="152"/>
      <c r="H40" s="7" t="s">
        <v>33</v>
      </c>
      <c r="I40" s="145">
        <v>30</v>
      </c>
      <c r="J40" s="5"/>
      <c r="K40" s="265" t="str">
        <f>D40</f>
        <v>1.2.3</v>
      </c>
      <c r="L40" s="46"/>
      <c r="M40" s="5"/>
      <c r="N40" s="214">
        <v>9</v>
      </c>
      <c r="O40" s="244" t="s">
        <v>45</v>
      </c>
      <c r="P40" s="216">
        <v>0</v>
      </c>
      <c r="Q40" s="210"/>
      <c r="R40" s="211"/>
      <c r="S40" s="41"/>
      <c r="T40" s="172"/>
      <c r="U40" s="125"/>
      <c r="V40" s="5"/>
    </row>
    <row r="41" spans="1:22" s="6" customFormat="1" ht="17" customHeight="1" thickBot="1" x14ac:dyDescent="0.4">
      <c r="A41" s="37"/>
      <c r="C41" s="101">
        <v>1.3</v>
      </c>
      <c r="D41" s="151" t="s">
        <v>46</v>
      </c>
      <c r="F41" s="151"/>
      <c r="G41" s="152"/>
      <c r="H41" s="100" t="s">
        <v>18</v>
      </c>
      <c r="I41" s="117">
        <f>(IF(I42=Normalize!G15,5,IF(I42&lt;Normalize!G15,5,IF(I42&gt;Normalize!I15,0,((I42-Normalize!G15)/(Normalize!I15-Normalize!G15))*5)))+IF(I43=Normalize!G16,5,IF(I43&lt;Normalize!G16,5,IF(I43&gt;Normalize!I16,0,5-((I43-Normalize!G16)/(Normalize!I16-Normalize!G16))*5)))+IF(I44=Normalize!G17,5,IF(I44&lt;Normalize!G17,5,IF(I44&gt;Normalize!I17,0,5-((I44-Normalize!G17)/(Normalize!I17-Normalize!G17))*5))))/3</f>
        <v>5</v>
      </c>
      <c r="J41" s="5"/>
      <c r="K41" s="136"/>
      <c r="L41" s="2"/>
      <c r="M41" s="5"/>
      <c r="N41" s="214">
        <v>10</v>
      </c>
      <c r="O41" s="244" t="s">
        <v>47</v>
      </c>
      <c r="P41" s="216">
        <v>0</v>
      </c>
      <c r="Q41" s="210"/>
      <c r="R41" s="211"/>
      <c r="S41" s="41"/>
      <c r="T41" s="172"/>
      <c r="U41" s="125"/>
      <c r="V41" s="5"/>
    </row>
    <row r="42" spans="1:22" s="6" customFormat="1" x14ac:dyDescent="0.35">
      <c r="A42" s="37"/>
      <c r="C42" s="101"/>
      <c r="D42" s="101" t="s">
        <v>48</v>
      </c>
      <c r="E42" s="23" t="s">
        <v>28</v>
      </c>
      <c r="G42" s="152"/>
      <c r="H42" s="7" t="s">
        <v>29</v>
      </c>
      <c r="I42" s="139">
        <v>5</v>
      </c>
      <c r="J42" s="5"/>
      <c r="K42" s="265" t="str">
        <f>D42</f>
        <v>1.3.1</v>
      </c>
      <c r="L42" s="46"/>
      <c r="M42" s="5"/>
      <c r="N42" s="266"/>
      <c r="O42" s="267"/>
      <c r="P42" s="268">
        <f>SUM(P32:P41)/5</f>
        <v>1</v>
      </c>
      <c r="Q42" s="210"/>
      <c r="R42" s="211"/>
      <c r="S42" s="41"/>
      <c r="T42" s="172"/>
      <c r="U42" s="125"/>
      <c r="V42" s="5"/>
    </row>
    <row r="43" spans="1:22" s="6" customFormat="1" x14ac:dyDescent="0.35">
      <c r="A43" s="37"/>
      <c r="C43" s="101"/>
      <c r="D43" s="101" t="s">
        <v>49</v>
      </c>
      <c r="E43" s="97" t="s">
        <v>32</v>
      </c>
      <c r="F43" s="151"/>
      <c r="G43" s="152"/>
      <c r="H43" s="7" t="s">
        <v>33</v>
      </c>
      <c r="I43" s="145">
        <v>8</v>
      </c>
      <c r="J43" s="5"/>
      <c r="K43" s="265" t="str">
        <f>D43</f>
        <v>1.3.2</v>
      </c>
      <c r="L43" s="46"/>
      <c r="M43" s="5"/>
      <c r="N43" s="217"/>
      <c r="O43" s="217"/>
      <c r="P43" s="217"/>
      <c r="Q43" s="210"/>
      <c r="R43" s="211"/>
      <c r="S43" s="41"/>
      <c r="T43" s="172"/>
      <c r="U43" s="125"/>
      <c r="V43" s="5"/>
    </row>
    <row r="44" spans="1:22" s="6" customFormat="1" ht="18" customHeight="1" thickBot="1" x14ac:dyDescent="0.35">
      <c r="A44" s="37"/>
      <c r="B44" s="30"/>
      <c r="C44" s="101"/>
      <c r="D44" s="101" t="s">
        <v>50</v>
      </c>
      <c r="E44" s="97" t="s">
        <v>36</v>
      </c>
      <c r="F44" s="137"/>
      <c r="G44" s="18"/>
      <c r="H44" s="7" t="s">
        <v>33</v>
      </c>
      <c r="I44" s="145">
        <v>22</v>
      </c>
      <c r="J44" s="5"/>
      <c r="K44" s="265" t="str">
        <f>D44</f>
        <v>1.3.3</v>
      </c>
      <c r="L44" s="46"/>
      <c r="M44" s="5"/>
      <c r="N44" s="217"/>
      <c r="O44" s="217"/>
      <c r="P44" s="217"/>
      <c r="Q44" s="217"/>
      <c r="R44" s="217"/>
      <c r="S44" s="41"/>
      <c r="T44" s="172"/>
      <c r="U44" s="125"/>
      <c r="V44" s="5"/>
    </row>
    <row r="45" spans="1:22" s="6" customFormat="1" ht="20.5" customHeight="1" thickBot="1" x14ac:dyDescent="0.4">
      <c r="A45" s="37"/>
      <c r="B45" s="30"/>
      <c r="C45" s="101">
        <v>1.4</v>
      </c>
      <c r="D45" s="151" t="s">
        <v>51</v>
      </c>
      <c r="F45" s="137"/>
      <c r="G45" s="18"/>
      <c r="H45" s="100" t="s">
        <v>18</v>
      </c>
      <c r="I45" s="117">
        <f>(IF(I46=Normalize!G19,5,IF(I46&lt;Normalize!G19,5,IF(I46&gt;Normalize!I19,0,((I46-Normalize!G19)/(Normalize!I19-Normalize!G19))*5)))+IF(I47=Normalize!G20,5,IF(I47&lt;Normalize!G20,5,IF(I47&gt;Normalize!I20,0,5-((I47-Normalize!G20)/(Normalize!I20-Normalize!G20))*5)))+IF(I48=Normalize!G21,5,IF(I48&lt;Normalize!G21,5,IF(I48&gt;Normalize!I21,0,5-((I48-Normalize!G21)/(Normalize!I21-Normalize!G21))*5))))/3</f>
        <v>5</v>
      </c>
      <c r="J45" s="5"/>
      <c r="K45" s="136"/>
      <c r="L45" s="2"/>
      <c r="M45" s="257"/>
      <c r="N45" s="269"/>
      <c r="O45" s="255"/>
      <c r="P45" s="255"/>
      <c r="Q45" s="270"/>
      <c r="R45" s="271"/>
      <c r="S45" s="259"/>
      <c r="T45" s="172"/>
      <c r="U45" s="125"/>
      <c r="V45" s="5"/>
    </row>
    <row r="46" spans="1:22" s="6" customFormat="1" ht="18" customHeight="1" thickBot="1" x14ac:dyDescent="0.4">
      <c r="A46" s="37"/>
      <c r="B46" s="30"/>
      <c r="C46" s="101"/>
      <c r="D46" s="101" t="s">
        <v>52</v>
      </c>
      <c r="E46" s="23" t="s">
        <v>28</v>
      </c>
      <c r="F46" s="137"/>
      <c r="G46" s="18"/>
      <c r="H46" s="7" t="s">
        <v>29</v>
      </c>
      <c r="I46" s="139">
        <v>5</v>
      </c>
      <c r="J46" s="5"/>
      <c r="K46" s="265" t="str">
        <f>D46</f>
        <v>1.4.1</v>
      </c>
      <c r="L46" s="46"/>
      <c r="M46" s="5"/>
      <c r="N46" s="218" t="s">
        <v>53</v>
      </c>
      <c r="O46" s="217"/>
      <c r="P46" s="217"/>
      <c r="Q46" s="210"/>
      <c r="R46" s="211"/>
      <c r="S46" s="41"/>
      <c r="T46" s="172"/>
      <c r="U46" s="125"/>
      <c r="V46" s="5"/>
    </row>
    <row r="47" spans="1:22" s="6" customFormat="1" ht="17.5" customHeight="1" x14ac:dyDescent="0.3">
      <c r="A47" s="37"/>
      <c r="B47" s="30"/>
      <c r="C47" s="101"/>
      <c r="D47" s="101" t="s">
        <v>54</v>
      </c>
      <c r="E47" s="97" t="s">
        <v>32</v>
      </c>
      <c r="F47" s="137"/>
      <c r="G47" s="18"/>
      <c r="H47" s="7" t="s">
        <v>33</v>
      </c>
      <c r="I47" s="145">
        <v>8</v>
      </c>
      <c r="J47" s="5"/>
      <c r="K47" s="265" t="str">
        <f>D47</f>
        <v>1.4.2</v>
      </c>
      <c r="L47" s="46"/>
      <c r="M47" s="5"/>
      <c r="N47" s="208" t="s">
        <v>55</v>
      </c>
      <c r="O47" s="219"/>
      <c r="P47" s="220" t="s">
        <v>20</v>
      </c>
      <c r="Q47" s="221" t="s">
        <v>56</v>
      </c>
      <c r="R47" s="209"/>
      <c r="S47" s="41"/>
      <c r="T47" s="172"/>
      <c r="U47" s="125"/>
      <c r="V47" s="5"/>
    </row>
    <row r="48" spans="1:22" s="6" customFormat="1" ht="18" customHeight="1" thickBot="1" x14ac:dyDescent="0.45">
      <c r="A48" s="37"/>
      <c r="B48" s="30"/>
      <c r="C48" s="101"/>
      <c r="D48" s="101" t="s">
        <v>57</v>
      </c>
      <c r="E48" s="97" t="s">
        <v>36</v>
      </c>
      <c r="F48" s="137"/>
      <c r="G48" s="18"/>
      <c r="H48" s="7" t="s">
        <v>33</v>
      </c>
      <c r="I48" s="145">
        <v>22</v>
      </c>
      <c r="J48" s="5"/>
      <c r="K48" s="265" t="str">
        <f>D48</f>
        <v>1.4.3</v>
      </c>
      <c r="L48" s="46"/>
      <c r="M48" s="5"/>
      <c r="N48" s="212">
        <v>1</v>
      </c>
      <c r="O48" s="245" t="s">
        <v>58</v>
      </c>
      <c r="P48" s="223">
        <v>0</v>
      </c>
      <c r="Q48" s="222" t="s">
        <v>23</v>
      </c>
      <c r="R48" s="224"/>
      <c r="S48" s="41"/>
      <c r="T48" s="172"/>
      <c r="U48" s="125"/>
      <c r="V48" s="5"/>
    </row>
    <row r="49" spans="1:22" s="6" customFormat="1" ht="18" customHeight="1" thickBot="1" x14ac:dyDescent="0.45">
      <c r="A49" s="37"/>
      <c r="B49" s="30"/>
      <c r="C49" s="101">
        <v>1.5</v>
      </c>
      <c r="D49" s="151" t="s">
        <v>59</v>
      </c>
      <c r="F49" s="137"/>
      <c r="G49" s="18"/>
      <c r="H49" s="100" t="s">
        <v>18</v>
      </c>
      <c r="I49" s="117">
        <f>(IF(I50=Normalize!G23,5,IF(I50&lt;Normalize!G23,5,IF(I50&gt;Normalize!I23,0,((I50-Normalize!G23)/(Normalize!I23-Normalize!G23))*5)))+IF(I51=Normalize!G24,5,IF(I51&lt;Normalize!G24,5,IF(I51&gt;Normalize!I24,0,5-((I51-Normalize!G24)/(Normalize!I24-Normalize!G24))*5)))+IF(I52=Normalize!G25,5,IF(I52&lt;Normalize!G25,5,IF(I52&gt;Normalize!I25,0,5-((I52-Normalize!G25)/(Normalize!I25-Normalize!G25))*5))))/3</f>
        <v>5</v>
      </c>
      <c r="J49" s="5"/>
      <c r="K49" s="136"/>
      <c r="L49" s="2"/>
      <c r="M49" s="5"/>
      <c r="N49" s="214">
        <v>2</v>
      </c>
      <c r="O49" s="244" t="s">
        <v>60</v>
      </c>
      <c r="P49" s="225">
        <v>0</v>
      </c>
      <c r="Q49" s="215" t="s">
        <v>23</v>
      </c>
      <c r="R49" s="226"/>
      <c r="S49" s="41"/>
      <c r="T49" s="172"/>
      <c r="U49" s="125"/>
      <c r="V49" s="5"/>
    </row>
    <row r="50" spans="1:22" s="6" customFormat="1" ht="17.5" customHeight="1" x14ac:dyDescent="0.4">
      <c r="A50" s="37"/>
      <c r="B50" s="30"/>
      <c r="C50" s="101"/>
      <c r="D50" s="101" t="s">
        <v>61</v>
      </c>
      <c r="E50" s="23" t="s">
        <v>28</v>
      </c>
      <c r="F50" s="137"/>
      <c r="G50" s="18"/>
      <c r="H50" s="7" t="s">
        <v>29</v>
      </c>
      <c r="I50" s="139">
        <v>5</v>
      </c>
      <c r="J50" s="5"/>
      <c r="K50" s="265" t="str">
        <f>D50</f>
        <v>1.5.1</v>
      </c>
      <c r="L50" s="46"/>
      <c r="M50" s="5"/>
      <c r="N50" s="214">
        <v>3</v>
      </c>
      <c r="O50" s="244" t="s">
        <v>62</v>
      </c>
      <c r="P50" s="225">
        <v>0</v>
      </c>
      <c r="Q50" s="215" t="s">
        <v>23</v>
      </c>
      <c r="R50" s="226"/>
      <c r="S50" s="41"/>
      <c r="T50" s="172"/>
      <c r="U50" s="125"/>
      <c r="V50" s="5"/>
    </row>
    <row r="51" spans="1:22" s="6" customFormat="1" ht="17.5" customHeight="1" x14ac:dyDescent="0.4">
      <c r="A51" s="37"/>
      <c r="B51" s="30"/>
      <c r="C51" s="101"/>
      <c r="D51" s="101" t="s">
        <v>63</v>
      </c>
      <c r="E51" s="97" t="s">
        <v>32</v>
      </c>
      <c r="F51" s="137"/>
      <c r="G51" s="18"/>
      <c r="H51" s="7" t="s">
        <v>33</v>
      </c>
      <c r="I51" s="145">
        <v>8</v>
      </c>
      <c r="J51" s="5"/>
      <c r="K51" s="265" t="str">
        <f>D51</f>
        <v>1.5.2</v>
      </c>
      <c r="L51" s="46"/>
      <c r="M51" s="5"/>
      <c r="N51" s="214">
        <v>4</v>
      </c>
      <c r="O51" s="244" t="s">
        <v>64</v>
      </c>
      <c r="P51" s="225">
        <v>0</v>
      </c>
      <c r="Q51" s="215" t="s">
        <v>23</v>
      </c>
      <c r="R51" s="226"/>
      <c r="S51" s="41"/>
      <c r="T51" s="172"/>
      <c r="U51" s="125"/>
      <c r="V51" s="5"/>
    </row>
    <row r="52" spans="1:22" s="6" customFormat="1" ht="17.5" customHeight="1" x14ac:dyDescent="0.4">
      <c r="A52" s="37"/>
      <c r="B52" s="30"/>
      <c r="C52" s="101"/>
      <c r="D52" s="101" t="s">
        <v>65</v>
      </c>
      <c r="E52" s="97" t="s">
        <v>36</v>
      </c>
      <c r="F52" s="137"/>
      <c r="G52" s="18"/>
      <c r="H52" s="7" t="s">
        <v>33</v>
      </c>
      <c r="I52" s="145">
        <v>22</v>
      </c>
      <c r="J52" s="5"/>
      <c r="K52" s="265" t="str">
        <f>D52</f>
        <v>1.5.3</v>
      </c>
      <c r="L52" s="46"/>
      <c r="M52" s="5"/>
      <c r="N52" s="214">
        <v>5</v>
      </c>
      <c r="O52" s="244" t="s">
        <v>66</v>
      </c>
      <c r="P52" s="225">
        <v>0</v>
      </c>
      <c r="Q52" s="215" t="s">
        <v>23</v>
      </c>
      <c r="R52" s="226"/>
      <c r="S52" s="41"/>
      <c r="T52" s="172"/>
      <c r="U52" s="125"/>
      <c r="V52" s="5"/>
    </row>
    <row r="53" spans="1:22" s="6" customFormat="1" ht="17" customHeight="1" thickBot="1" x14ac:dyDescent="0.45">
      <c r="A53" s="37"/>
      <c r="B53" s="30"/>
      <c r="C53" s="101"/>
      <c r="D53" s="272"/>
      <c r="E53" s="272"/>
      <c r="F53" s="272"/>
      <c r="G53" s="18"/>
      <c r="H53" s="7"/>
      <c r="I53" s="273"/>
      <c r="J53" s="5"/>
      <c r="K53" s="136"/>
      <c r="L53" s="2"/>
      <c r="M53" s="5"/>
      <c r="N53" s="214">
        <v>6</v>
      </c>
      <c r="O53" s="244" t="s">
        <v>67</v>
      </c>
      <c r="P53" s="225">
        <v>0</v>
      </c>
      <c r="Q53" s="215" t="s">
        <v>23</v>
      </c>
      <c r="R53" s="226"/>
      <c r="S53" s="41"/>
      <c r="T53" s="172"/>
      <c r="U53" s="125"/>
      <c r="V53" s="5"/>
    </row>
    <row r="54" spans="1:22" s="6" customFormat="1" ht="18" customHeight="1" thickBot="1" x14ac:dyDescent="0.45">
      <c r="A54" s="37"/>
      <c r="B54" s="30">
        <v>2</v>
      </c>
      <c r="C54" s="156" t="s">
        <v>68</v>
      </c>
      <c r="D54" s="156"/>
      <c r="H54" s="274" t="s">
        <v>18</v>
      </c>
      <c r="I54" s="105">
        <f>(IF(I55=Normalize!G28,5,IF(I55&lt;Normalize!G28,5,IF(I55&gt;Normalize!I28,0,5-((I55-Normalize!G28)/(Normalize!I28-Normalize!G28))*5)))+
IF(I56=Normalize!G29,5,IF(I56&lt;Normalize!G29,5,IF(I56&gt;Normalize!I29,0,5-((I56-Normalize!G29)/(Normalize!I29-Normalize!G29))*5)))+
IF(I57=Normalize!G30,5,IF(I57&lt;Normalize!G30,5,IF(I57&gt;Normalize!I30,0,5-((I57-Normalize!G30)/(Normalize!I30-Normalize!G30))*5)))+
IF(I58=Normalize!G31,5,IF(I58&lt;Normalize!G31,5,IF(I58&gt;Normalize!I31,0,5-((I58-Normalize!G31)/(Normalize!I31-Normalize!G31))*5)))+
IF(I59=Normalize!G32,5,IF(I59&lt;Normalize!G32,5,IF(I59&gt;Normalize!I32,0,5-((I59-Normalize!G32)/(Normalize!I32-Normalize!G32))*5)))+
IF(I60=Normalize!G33,5,IF(I60&lt;Normalize!G33,5,IF(I60&gt;Normalize!I33,0,5-((I60-Normalize!G33)/(Normalize!I33-Normalize!G33))*5)))+
IF(I61=Normalize!G34,5,IF(I61&lt;Normalize!G34,5,IF(I61&gt;Normalize!I34,0,5-((I61-Normalize!G34)/(Normalize!I34-Normalize!G34))*5)))+
IF(I62=Normalize!G35,5,IF(I62&lt;Normalize!G35,5,IF(I62&gt;Normalize!I35,0,5-((I62-Normalize!G35)/(Normalize!I35-Normalize!G35))*5)))+
IF(I63=Normalize!G36,5,IF(I63&lt;Normalize!G36,5,IF(I63&gt;Normalize!I36,0,5-((I63-Normalize!G36)/(Normalize!I36-Normalize!G36))*5)))+
IF(I64=Normalize!G37,5,IF(I64&lt;Normalize!G37,5,IF(I64&gt;Normalize!I37,0,5-((I64-Normalize!G37)/(Normalize!I37-Normalize!G37))*5)))+
IF(I65=Normalize!G38,5,IF(I65&lt;Normalize!G38,5,IF(I65&gt;Normalize!I38,0,5-((I65-Normalize!G38)/(Normalize!I38-Normalize!G38))*5))))/11</f>
        <v>5</v>
      </c>
      <c r="K54" s="136"/>
      <c r="L54" s="2"/>
      <c r="M54" s="5"/>
      <c r="N54" s="214">
        <v>7</v>
      </c>
      <c r="O54" s="244" t="s">
        <v>69</v>
      </c>
      <c r="P54" s="225">
        <v>0</v>
      </c>
      <c r="Q54" s="215" t="s">
        <v>23</v>
      </c>
      <c r="R54" s="226"/>
      <c r="S54" s="41"/>
      <c r="T54" s="172"/>
      <c r="U54" s="125"/>
      <c r="V54" s="5"/>
    </row>
    <row r="55" spans="1:22" s="6" customFormat="1" ht="18" customHeight="1" x14ac:dyDescent="0.4">
      <c r="A55" s="37"/>
      <c r="B55" s="30"/>
      <c r="C55" s="312" t="s">
        <v>70</v>
      </c>
      <c r="D55" s="23" t="s">
        <v>71</v>
      </c>
      <c r="H55" s="7" t="s">
        <v>33</v>
      </c>
      <c r="I55" s="313">
        <v>35</v>
      </c>
      <c r="K55" s="265" t="str">
        <f t="shared" ref="K55:K65" si="0">C55</f>
        <v>1.1</v>
      </c>
      <c r="L55" s="46"/>
      <c r="M55" s="5"/>
      <c r="N55" s="214">
        <v>8</v>
      </c>
      <c r="O55" s="244" t="s">
        <v>72</v>
      </c>
      <c r="P55" s="225">
        <v>5</v>
      </c>
      <c r="Q55" s="215" t="s">
        <v>23</v>
      </c>
      <c r="R55" s="226"/>
      <c r="S55" s="41"/>
      <c r="T55" s="172"/>
      <c r="U55" s="125"/>
      <c r="V55" s="5"/>
    </row>
    <row r="56" spans="1:22" s="6" customFormat="1" ht="18" customHeight="1" x14ac:dyDescent="0.4">
      <c r="A56" s="37"/>
      <c r="B56" s="30"/>
      <c r="C56" s="312" t="s">
        <v>73</v>
      </c>
      <c r="D56" s="23" t="s">
        <v>23</v>
      </c>
      <c r="H56" s="7" t="s">
        <v>33</v>
      </c>
      <c r="I56" s="314">
        <v>125</v>
      </c>
      <c r="K56" s="265" t="str">
        <f t="shared" si="0"/>
        <v>1.2</v>
      </c>
      <c r="L56" s="46"/>
      <c r="M56" s="5"/>
      <c r="N56" s="214">
        <v>9</v>
      </c>
      <c r="O56" s="244" t="s">
        <v>74</v>
      </c>
      <c r="P56" s="225">
        <v>0</v>
      </c>
      <c r="Q56" s="215" t="s">
        <v>23</v>
      </c>
      <c r="R56" s="226"/>
      <c r="S56" s="41"/>
      <c r="T56" s="172"/>
      <c r="U56" s="125"/>
      <c r="V56" s="5"/>
    </row>
    <row r="57" spans="1:22" s="6" customFormat="1" ht="18" customHeight="1" x14ac:dyDescent="0.4">
      <c r="A57" s="37"/>
      <c r="B57" s="30"/>
      <c r="C57" s="312" t="s">
        <v>75</v>
      </c>
      <c r="D57" s="23" t="s">
        <v>26</v>
      </c>
      <c r="H57" s="7" t="s">
        <v>33</v>
      </c>
      <c r="I57" s="314">
        <v>66</v>
      </c>
      <c r="J57" s="5"/>
      <c r="K57" s="265" t="str">
        <f t="shared" si="0"/>
        <v>1.3</v>
      </c>
      <c r="L57" s="46"/>
      <c r="M57" s="5"/>
      <c r="N57" s="214">
        <v>10</v>
      </c>
      <c r="O57" s="244" t="s">
        <v>76</v>
      </c>
      <c r="P57" s="225">
        <v>0</v>
      </c>
      <c r="Q57" s="215" t="s">
        <v>23</v>
      </c>
      <c r="R57" s="226" t="s">
        <v>17</v>
      </c>
      <c r="S57" s="41"/>
      <c r="T57" s="172"/>
      <c r="U57" s="125"/>
      <c r="V57" s="5"/>
    </row>
    <row r="58" spans="1:22" s="6" customFormat="1" ht="15.5" customHeight="1" x14ac:dyDescent="0.4">
      <c r="A58" s="37"/>
      <c r="B58" s="30"/>
      <c r="C58" s="312" t="s">
        <v>77</v>
      </c>
      <c r="D58" s="23" t="s">
        <v>30</v>
      </c>
      <c r="H58" s="7" t="s">
        <v>33</v>
      </c>
      <c r="I58" s="314">
        <v>200</v>
      </c>
      <c r="J58" s="5"/>
      <c r="K58" s="265" t="str">
        <f t="shared" si="0"/>
        <v>1.4</v>
      </c>
      <c r="L58" s="46"/>
      <c r="M58" s="5"/>
      <c r="N58" s="214">
        <v>11</v>
      </c>
      <c r="O58" s="244" t="s">
        <v>78</v>
      </c>
      <c r="P58" s="225">
        <v>5</v>
      </c>
      <c r="Q58" s="215" t="s">
        <v>23</v>
      </c>
      <c r="R58" s="226"/>
      <c r="S58" s="41"/>
      <c r="T58" s="172"/>
      <c r="U58" s="125"/>
      <c r="V58" s="5"/>
    </row>
    <row r="59" spans="1:22" s="6" customFormat="1" ht="18" customHeight="1" x14ac:dyDescent="0.4">
      <c r="A59" s="37"/>
      <c r="B59" s="30"/>
      <c r="C59" s="312" t="s">
        <v>79</v>
      </c>
      <c r="D59" s="23" t="s">
        <v>34</v>
      </c>
      <c r="H59" s="7" t="s">
        <v>33</v>
      </c>
      <c r="I59" s="314">
        <v>90</v>
      </c>
      <c r="K59" s="265" t="str">
        <f t="shared" si="0"/>
        <v>1.5</v>
      </c>
      <c r="L59" s="46"/>
      <c r="M59" s="5"/>
      <c r="N59" s="214">
        <v>12</v>
      </c>
      <c r="O59" s="244" t="s">
        <v>80</v>
      </c>
      <c r="P59" s="225">
        <v>0</v>
      </c>
      <c r="Q59" s="215" t="s">
        <v>23</v>
      </c>
      <c r="R59" s="226"/>
      <c r="S59" s="41"/>
      <c r="T59" s="172"/>
      <c r="U59" s="125"/>
      <c r="V59" s="5"/>
    </row>
    <row r="60" spans="1:22" s="6" customFormat="1" ht="15.5" customHeight="1" x14ac:dyDescent="0.4">
      <c r="A60" s="37"/>
      <c r="B60" s="30"/>
      <c r="C60" s="312" t="s">
        <v>81</v>
      </c>
      <c r="D60" s="23" t="s">
        <v>82</v>
      </c>
      <c r="H60" s="7" t="s">
        <v>33</v>
      </c>
      <c r="I60" s="314">
        <v>50</v>
      </c>
      <c r="J60" s="5"/>
      <c r="K60" s="265" t="str">
        <f t="shared" si="0"/>
        <v>1.6</v>
      </c>
      <c r="L60" s="46"/>
      <c r="M60" s="5"/>
      <c r="N60" s="214">
        <v>13</v>
      </c>
      <c r="O60" s="244" t="s">
        <v>83</v>
      </c>
      <c r="P60" s="225">
        <v>0</v>
      </c>
      <c r="Q60" s="215" t="s">
        <v>23</v>
      </c>
      <c r="R60" s="226"/>
      <c r="S60" s="41"/>
      <c r="T60" s="172"/>
      <c r="U60" s="125"/>
      <c r="V60" s="5"/>
    </row>
    <row r="61" spans="1:22" s="6" customFormat="1" ht="15.5" customHeight="1" x14ac:dyDescent="0.4">
      <c r="A61" s="37"/>
      <c r="B61" s="30"/>
      <c r="C61" s="312" t="s">
        <v>84</v>
      </c>
      <c r="D61" s="23" t="s">
        <v>39</v>
      </c>
      <c r="H61" s="7" t="s">
        <v>33</v>
      </c>
      <c r="I61" s="314">
        <v>40</v>
      </c>
      <c r="J61" s="5"/>
      <c r="K61" s="265" t="str">
        <f t="shared" si="0"/>
        <v>1.7</v>
      </c>
      <c r="L61" s="46"/>
      <c r="M61" s="5"/>
      <c r="N61" s="214">
        <v>14</v>
      </c>
      <c r="O61" s="244" t="s">
        <v>85</v>
      </c>
      <c r="P61" s="225">
        <v>0</v>
      </c>
      <c r="Q61" s="215" t="s">
        <v>23</v>
      </c>
      <c r="R61" s="226"/>
      <c r="S61" s="41"/>
      <c r="T61" s="172"/>
      <c r="U61" s="125"/>
      <c r="V61" s="5"/>
    </row>
    <row r="62" spans="1:22" s="6" customFormat="1" ht="15.5" customHeight="1" x14ac:dyDescent="0.4">
      <c r="A62" s="37"/>
      <c r="B62" s="30"/>
      <c r="C62" s="312" t="s">
        <v>86</v>
      </c>
      <c r="D62" s="23" t="s">
        <v>41</v>
      </c>
      <c r="H62" s="7" t="s">
        <v>33</v>
      </c>
      <c r="I62" s="314">
        <v>45</v>
      </c>
      <c r="J62" s="5"/>
      <c r="K62" s="265" t="str">
        <f t="shared" si="0"/>
        <v>1.8</v>
      </c>
      <c r="L62" s="46"/>
      <c r="M62" s="5"/>
      <c r="N62" s="214">
        <v>15</v>
      </c>
      <c r="O62" s="244" t="s">
        <v>87</v>
      </c>
      <c r="P62" s="225">
        <v>0</v>
      </c>
      <c r="Q62" s="215" t="s">
        <v>23</v>
      </c>
      <c r="R62" s="226"/>
      <c r="S62" s="41"/>
      <c r="T62" s="172"/>
      <c r="U62" s="125"/>
      <c r="V62" s="5"/>
    </row>
    <row r="63" spans="1:22" s="6" customFormat="1" ht="15.5" customHeight="1" x14ac:dyDescent="0.4">
      <c r="A63" s="37"/>
      <c r="B63" s="30"/>
      <c r="C63" s="312" t="s">
        <v>88</v>
      </c>
      <c r="D63" s="97" t="s">
        <v>43</v>
      </c>
      <c r="H63" s="7" t="s">
        <v>33</v>
      </c>
      <c r="I63" s="314">
        <v>30</v>
      </c>
      <c r="J63" s="5"/>
      <c r="K63" s="265" t="str">
        <f t="shared" si="0"/>
        <v>1.9</v>
      </c>
      <c r="L63" s="46"/>
      <c r="M63" s="5"/>
      <c r="N63" s="214">
        <v>16</v>
      </c>
      <c r="O63" s="244" t="s">
        <v>89</v>
      </c>
      <c r="P63" s="225">
        <v>0</v>
      </c>
      <c r="Q63" s="215" t="s">
        <v>23</v>
      </c>
      <c r="R63" s="226"/>
      <c r="S63" s="41"/>
      <c r="T63" s="172"/>
      <c r="U63" s="125"/>
      <c r="V63" s="5"/>
    </row>
    <row r="64" spans="1:22" s="6" customFormat="1" ht="15.5" customHeight="1" x14ac:dyDescent="0.4">
      <c r="A64" s="37"/>
      <c r="B64" s="30"/>
      <c r="C64" s="312" t="s">
        <v>90</v>
      </c>
      <c r="D64" s="97" t="s">
        <v>45</v>
      </c>
      <c r="H64" s="7" t="s">
        <v>33</v>
      </c>
      <c r="I64" s="314">
        <v>35</v>
      </c>
      <c r="J64" s="5"/>
      <c r="K64" s="265" t="str">
        <f t="shared" si="0"/>
        <v>1.10</v>
      </c>
      <c r="L64" s="46"/>
      <c r="M64" s="5"/>
      <c r="N64" s="214">
        <v>17</v>
      </c>
      <c r="O64" s="244" t="s">
        <v>91</v>
      </c>
      <c r="P64" s="225">
        <v>0</v>
      </c>
      <c r="Q64" s="215" t="s">
        <v>23</v>
      </c>
      <c r="R64" s="226"/>
      <c r="S64" s="41"/>
      <c r="T64" s="172"/>
      <c r="U64" s="125"/>
      <c r="V64" s="5"/>
    </row>
    <row r="65" spans="1:22" s="6" customFormat="1" ht="15.5" customHeight="1" thickBot="1" x14ac:dyDescent="0.45">
      <c r="A65" s="37"/>
      <c r="B65" s="30"/>
      <c r="C65" s="312" t="s">
        <v>92</v>
      </c>
      <c r="D65" s="97" t="s">
        <v>47</v>
      </c>
      <c r="H65" s="7" t="s">
        <v>33</v>
      </c>
      <c r="I65" s="314">
        <v>200</v>
      </c>
      <c r="J65" s="5"/>
      <c r="K65" s="265" t="str">
        <f t="shared" si="0"/>
        <v>1.11</v>
      </c>
      <c r="L65" s="46"/>
      <c r="M65" s="5"/>
      <c r="N65" s="214">
        <v>18</v>
      </c>
      <c r="O65" s="244" t="s">
        <v>93</v>
      </c>
      <c r="P65" s="225">
        <v>0</v>
      </c>
      <c r="Q65" s="215" t="s">
        <v>23</v>
      </c>
      <c r="R65" s="226"/>
      <c r="S65" s="41"/>
      <c r="T65" s="172"/>
      <c r="U65" s="125"/>
      <c r="V65" s="5"/>
    </row>
    <row r="66" spans="1:22" s="6" customFormat="1" ht="15.5" customHeight="1" thickBot="1" x14ac:dyDescent="0.45">
      <c r="A66" s="37"/>
      <c r="B66" s="30"/>
      <c r="C66" s="101"/>
      <c r="D66" s="97"/>
      <c r="I66" s="38"/>
      <c r="J66" s="5"/>
      <c r="K66" s="136"/>
      <c r="L66" s="2"/>
      <c r="M66" s="5"/>
      <c r="N66" s="227">
        <v>19</v>
      </c>
      <c r="O66" s="246" t="s">
        <v>94</v>
      </c>
      <c r="P66" s="229">
        <v>0</v>
      </c>
      <c r="Q66" s="228" t="s">
        <v>23</v>
      </c>
      <c r="R66" s="230"/>
      <c r="S66" s="41"/>
      <c r="T66" s="172"/>
      <c r="U66" s="125"/>
      <c r="V66" s="5"/>
    </row>
    <row r="67" spans="1:22" s="6" customFormat="1" ht="15.5" customHeight="1" x14ac:dyDescent="0.4">
      <c r="A67" s="37"/>
      <c r="B67" s="21">
        <v>3</v>
      </c>
      <c r="C67" s="99" t="s">
        <v>95</v>
      </c>
      <c r="H67" s="100" t="s">
        <v>18</v>
      </c>
      <c r="I67" s="105">
        <f>SUM(I68:I74)/7</f>
        <v>2.8571428571428572</v>
      </c>
      <c r="M67" s="5"/>
      <c r="N67" s="214">
        <v>20</v>
      </c>
      <c r="O67" s="244" t="s">
        <v>96</v>
      </c>
      <c r="P67" s="225">
        <v>0</v>
      </c>
      <c r="Q67" s="215" t="s">
        <v>26</v>
      </c>
      <c r="R67" s="226"/>
      <c r="S67" s="41"/>
      <c r="T67" s="172"/>
      <c r="U67" s="125"/>
      <c r="V67" s="5"/>
    </row>
    <row r="68" spans="1:22" s="6" customFormat="1" ht="15.5" customHeight="1" x14ac:dyDescent="0.4">
      <c r="A68" s="37"/>
      <c r="B68" s="21"/>
      <c r="C68" s="101">
        <v>3.1</v>
      </c>
      <c r="D68" s="23" t="s">
        <v>97</v>
      </c>
      <c r="H68" s="7" t="s">
        <v>20</v>
      </c>
      <c r="I68" s="102">
        <v>5</v>
      </c>
      <c r="K68" s="265">
        <f t="shared" ref="K68:K74" si="1">C68</f>
        <v>3.1</v>
      </c>
      <c r="L68" s="46"/>
      <c r="M68" s="5"/>
      <c r="N68" s="214">
        <v>21</v>
      </c>
      <c r="O68" s="244" t="s">
        <v>98</v>
      </c>
      <c r="P68" s="225">
        <v>0</v>
      </c>
      <c r="Q68" s="215" t="s">
        <v>26</v>
      </c>
      <c r="R68" s="226"/>
      <c r="S68" s="41"/>
      <c r="T68" s="172"/>
      <c r="U68" s="125"/>
      <c r="V68" s="5"/>
    </row>
    <row r="69" spans="1:22" s="6" customFormat="1" ht="15.5" customHeight="1" x14ac:dyDescent="0.4">
      <c r="A69" s="37"/>
      <c r="B69" s="21"/>
      <c r="C69" s="101">
        <v>3.2</v>
      </c>
      <c r="D69" s="23" t="s">
        <v>99</v>
      </c>
      <c r="H69" s="7" t="s">
        <v>20</v>
      </c>
      <c r="I69" s="102">
        <v>5</v>
      </c>
      <c r="K69" s="265">
        <f t="shared" si="1"/>
        <v>3.2</v>
      </c>
      <c r="L69" s="46"/>
      <c r="M69" s="5"/>
      <c r="N69" s="214">
        <v>22</v>
      </c>
      <c r="O69" s="244" t="s">
        <v>100</v>
      </c>
      <c r="P69" s="225">
        <v>5</v>
      </c>
      <c r="Q69" s="215" t="s">
        <v>26</v>
      </c>
      <c r="R69" s="226" t="s">
        <v>53</v>
      </c>
      <c r="S69" s="41"/>
      <c r="T69" s="172"/>
      <c r="U69" s="125"/>
      <c r="V69" s="5"/>
    </row>
    <row r="70" spans="1:22" s="6" customFormat="1" ht="15.5" customHeight="1" thickBot="1" x14ac:dyDescent="0.45">
      <c r="A70" s="37"/>
      <c r="B70" s="21"/>
      <c r="C70" s="101">
        <v>3.3</v>
      </c>
      <c r="D70" s="23" t="s">
        <v>101</v>
      </c>
      <c r="H70" s="7" t="s">
        <v>20</v>
      </c>
      <c r="I70" s="102">
        <v>0</v>
      </c>
      <c r="K70" s="265">
        <f t="shared" si="1"/>
        <v>3.3</v>
      </c>
      <c r="L70" s="46"/>
      <c r="M70" s="5"/>
      <c r="N70" s="214">
        <v>23</v>
      </c>
      <c r="O70" s="244" t="s">
        <v>102</v>
      </c>
      <c r="P70" s="225">
        <v>0</v>
      </c>
      <c r="Q70" s="215" t="s">
        <v>26</v>
      </c>
      <c r="R70" s="226"/>
      <c r="S70" s="41"/>
      <c r="T70" s="172"/>
      <c r="U70" s="125"/>
      <c r="V70" s="5"/>
    </row>
    <row r="71" spans="1:22" s="6" customFormat="1" ht="15.5" customHeight="1" x14ac:dyDescent="0.4">
      <c r="A71" s="37"/>
      <c r="B71" s="21"/>
      <c r="C71" s="101">
        <v>3.4</v>
      </c>
      <c r="D71" s="23" t="s">
        <v>103</v>
      </c>
      <c r="H71" s="7" t="s">
        <v>20</v>
      </c>
      <c r="I71" s="102">
        <v>0</v>
      </c>
      <c r="K71" s="265">
        <f t="shared" si="1"/>
        <v>3.4</v>
      </c>
      <c r="L71" s="46"/>
      <c r="M71" s="5"/>
      <c r="N71" s="227">
        <v>24</v>
      </c>
      <c r="O71" s="246" t="s">
        <v>104</v>
      </c>
      <c r="P71" s="229">
        <v>0</v>
      </c>
      <c r="Q71" s="228" t="s">
        <v>26</v>
      </c>
      <c r="R71" s="230"/>
      <c r="S71" s="41"/>
      <c r="T71" s="172"/>
      <c r="U71" s="125"/>
      <c r="V71" s="5"/>
    </row>
    <row r="72" spans="1:22" s="6" customFormat="1" ht="18" customHeight="1" x14ac:dyDescent="0.4">
      <c r="A72" s="37"/>
      <c r="B72" s="21"/>
      <c r="C72" s="101">
        <v>3.5</v>
      </c>
      <c r="D72" s="23" t="s">
        <v>105</v>
      </c>
      <c r="H72" s="7" t="s">
        <v>20</v>
      </c>
      <c r="I72" s="102">
        <v>5</v>
      </c>
      <c r="K72" s="265">
        <f t="shared" si="1"/>
        <v>3.5</v>
      </c>
      <c r="L72" s="46"/>
      <c r="M72" s="5"/>
      <c r="N72" s="214">
        <v>25</v>
      </c>
      <c r="O72" s="244" t="s">
        <v>106</v>
      </c>
      <c r="P72" s="225">
        <v>0</v>
      </c>
      <c r="Q72" s="215" t="s">
        <v>30</v>
      </c>
      <c r="R72" s="226"/>
      <c r="S72" s="41"/>
      <c r="T72" s="172"/>
      <c r="U72" s="125"/>
      <c r="V72" s="5"/>
    </row>
    <row r="73" spans="1:22" s="6" customFormat="1" ht="18" customHeight="1" x14ac:dyDescent="0.4">
      <c r="A73" s="37"/>
      <c r="B73" s="21"/>
      <c r="C73" s="101">
        <v>3.6</v>
      </c>
      <c r="D73" s="23" t="s">
        <v>107</v>
      </c>
      <c r="H73" s="7" t="s">
        <v>20</v>
      </c>
      <c r="I73" s="102">
        <v>0</v>
      </c>
      <c r="K73" s="265">
        <f t="shared" si="1"/>
        <v>3.6</v>
      </c>
      <c r="L73" s="46"/>
      <c r="M73" s="5"/>
      <c r="N73" s="214">
        <v>26</v>
      </c>
      <c r="O73" s="244" t="s">
        <v>108</v>
      </c>
      <c r="P73" s="225">
        <v>0</v>
      </c>
      <c r="Q73" s="215" t="s">
        <v>30</v>
      </c>
      <c r="R73" s="226"/>
      <c r="S73" s="41"/>
      <c r="T73" s="172"/>
      <c r="U73" s="125"/>
      <c r="V73" s="5"/>
    </row>
    <row r="74" spans="1:22" s="6" customFormat="1" ht="23.5" customHeight="1" thickBot="1" x14ac:dyDescent="0.45">
      <c r="A74" s="37"/>
      <c r="B74" s="21"/>
      <c r="C74" s="101">
        <v>3.7</v>
      </c>
      <c r="D74" s="272" t="s">
        <v>109</v>
      </c>
      <c r="H74" s="7" t="s">
        <v>20</v>
      </c>
      <c r="I74" s="102">
        <v>5</v>
      </c>
      <c r="K74" s="265">
        <f t="shared" si="1"/>
        <v>3.7</v>
      </c>
      <c r="L74" s="46"/>
      <c r="M74" s="5"/>
      <c r="N74" s="214">
        <v>27</v>
      </c>
      <c r="O74" s="244" t="s">
        <v>110</v>
      </c>
      <c r="P74" s="225">
        <v>0</v>
      </c>
      <c r="Q74" s="215" t="s">
        <v>30</v>
      </c>
      <c r="R74" s="226"/>
      <c r="S74" s="41"/>
      <c r="T74" s="172"/>
      <c r="U74" s="125"/>
      <c r="V74" s="5"/>
    </row>
    <row r="75" spans="1:22" s="6" customFormat="1" ht="15.5" customHeight="1" thickBot="1" x14ac:dyDescent="0.45">
      <c r="A75" s="37"/>
      <c r="J75" s="5"/>
      <c r="K75" s="136"/>
      <c r="L75" s="2"/>
      <c r="M75" s="5"/>
      <c r="N75" s="214">
        <v>28</v>
      </c>
      <c r="O75" s="244" t="s">
        <v>111</v>
      </c>
      <c r="P75" s="225">
        <v>0</v>
      </c>
      <c r="Q75" s="215" t="s">
        <v>30</v>
      </c>
      <c r="R75" s="226"/>
      <c r="S75" s="41"/>
      <c r="T75" s="173"/>
      <c r="U75" s="125"/>
      <c r="V75" s="5"/>
    </row>
    <row r="76" spans="1:22" s="6" customFormat="1" ht="18.5" customHeight="1" thickBot="1" x14ac:dyDescent="0.45">
      <c r="A76" s="37"/>
      <c r="B76" s="127">
        <v>2</v>
      </c>
      <c r="C76" s="108" t="s">
        <v>112</v>
      </c>
      <c r="G76" s="5"/>
      <c r="H76" s="72" t="s">
        <v>16</v>
      </c>
      <c r="I76" s="275">
        <f>(I78*4+I84*3+I89*3+I94*56)/66</f>
        <v>2.6934761645995819</v>
      </c>
      <c r="K76" s="14"/>
      <c r="L76" s="14"/>
      <c r="N76" s="214">
        <v>29</v>
      </c>
      <c r="O76" s="244" t="s">
        <v>113</v>
      </c>
      <c r="P76" s="225">
        <v>0</v>
      </c>
      <c r="Q76" s="215" t="s">
        <v>30</v>
      </c>
      <c r="R76" s="226"/>
      <c r="S76" s="41"/>
      <c r="T76" s="172"/>
      <c r="U76" s="125"/>
      <c r="V76" s="5"/>
    </row>
    <row r="77" spans="1:22" s="6" customFormat="1" ht="15.5" customHeight="1" thickBot="1" x14ac:dyDescent="0.45">
      <c r="A77" s="37"/>
      <c r="B77" s="127"/>
      <c r="C77" s="26"/>
      <c r="G77" s="5"/>
      <c r="H77" s="28"/>
      <c r="I77" s="273"/>
      <c r="K77" s="14"/>
      <c r="L77" s="14"/>
      <c r="N77" s="214">
        <v>30</v>
      </c>
      <c r="O77" s="244" t="s">
        <v>114</v>
      </c>
      <c r="P77" s="225">
        <v>0</v>
      </c>
      <c r="Q77" s="215" t="s">
        <v>30</v>
      </c>
      <c r="R77" s="226"/>
      <c r="S77" s="41"/>
      <c r="T77" s="172"/>
      <c r="U77" s="125"/>
      <c r="V77" s="5"/>
    </row>
    <row r="78" spans="1:22" s="6" customFormat="1" ht="15.5" customHeight="1" x14ac:dyDescent="0.4">
      <c r="A78" s="37"/>
      <c r="B78" s="30">
        <v>1</v>
      </c>
      <c r="C78" s="99" t="s">
        <v>115</v>
      </c>
      <c r="H78" s="274" t="s">
        <v>18</v>
      </c>
      <c r="I78" s="123">
        <f>SUM(I79:I82)/4</f>
        <v>2.5</v>
      </c>
      <c r="K78" s="14"/>
      <c r="L78" s="14"/>
      <c r="N78" s="214">
        <v>31</v>
      </c>
      <c r="O78" s="244" t="s">
        <v>116</v>
      </c>
      <c r="P78" s="225">
        <v>0</v>
      </c>
      <c r="Q78" s="215" t="s">
        <v>30</v>
      </c>
      <c r="R78" s="226" t="s">
        <v>117</v>
      </c>
      <c r="S78" s="41"/>
      <c r="T78" s="172"/>
      <c r="U78" s="125"/>
      <c r="V78" s="5"/>
    </row>
    <row r="79" spans="1:22" s="6" customFormat="1" ht="15.5" customHeight="1" x14ac:dyDescent="0.4">
      <c r="A79" s="37"/>
      <c r="B79" s="30"/>
      <c r="C79" s="101">
        <v>1.1000000000000001</v>
      </c>
      <c r="D79" s="97" t="s">
        <v>118</v>
      </c>
      <c r="H79" s="7" t="s">
        <v>20</v>
      </c>
      <c r="I79" s="276">
        <v>5</v>
      </c>
      <c r="K79" s="265">
        <f>C79</f>
        <v>1.1000000000000001</v>
      </c>
      <c r="L79" s="46"/>
      <c r="N79" s="214">
        <v>32</v>
      </c>
      <c r="O79" s="244" t="s">
        <v>119</v>
      </c>
      <c r="P79" s="225">
        <v>0</v>
      </c>
      <c r="Q79" s="215" t="s">
        <v>30</v>
      </c>
      <c r="R79" s="226"/>
      <c r="S79" s="41"/>
      <c r="T79" s="172"/>
      <c r="U79" s="125"/>
      <c r="V79" s="5"/>
    </row>
    <row r="80" spans="1:22" s="6" customFormat="1" ht="15.5" customHeight="1" x14ac:dyDescent="0.4">
      <c r="A80" s="37"/>
      <c r="B80" s="30"/>
      <c r="C80" s="101">
        <v>1.2</v>
      </c>
      <c r="D80" s="97" t="s">
        <v>120</v>
      </c>
      <c r="H80" s="7" t="s">
        <v>20</v>
      </c>
      <c r="I80" s="80">
        <v>0</v>
      </c>
      <c r="K80" s="265">
        <f>C80</f>
        <v>1.2</v>
      </c>
      <c r="L80" s="46"/>
      <c r="N80" s="214">
        <v>33</v>
      </c>
      <c r="O80" s="244" t="s">
        <v>121</v>
      </c>
      <c r="P80" s="225">
        <v>0</v>
      </c>
      <c r="Q80" s="215" t="s">
        <v>30</v>
      </c>
      <c r="R80" s="226"/>
      <c r="S80" s="41"/>
      <c r="T80" s="172"/>
      <c r="U80" s="125"/>
      <c r="V80" s="5"/>
    </row>
    <row r="81" spans="1:22" s="6" customFormat="1" ht="17" customHeight="1" x14ac:dyDescent="0.4">
      <c r="A81" s="36"/>
      <c r="B81" s="30"/>
      <c r="C81" s="101">
        <v>1.3</v>
      </c>
      <c r="D81" s="97" t="s">
        <v>122</v>
      </c>
      <c r="H81" s="7" t="s">
        <v>20</v>
      </c>
      <c r="I81" s="80">
        <v>0</v>
      </c>
      <c r="K81" s="265">
        <f>C81</f>
        <v>1.3</v>
      </c>
      <c r="L81" s="46"/>
      <c r="N81" s="214">
        <v>34</v>
      </c>
      <c r="O81" s="244" t="s">
        <v>123</v>
      </c>
      <c r="P81" s="225">
        <v>0</v>
      </c>
      <c r="Q81" s="215" t="s">
        <v>30</v>
      </c>
      <c r="R81" s="226"/>
      <c r="S81" s="41"/>
      <c r="T81" s="172"/>
      <c r="U81" s="125"/>
      <c r="V81" s="5"/>
    </row>
    <row r="82" spans="1:22" s="6" customFormat="1" ht="17" customHeight="1" thickBot="1" x14ac:dyDescent="0.45">
      <c r="A82" s="36"/>
      <c r="B82" s="30"/>
      <c r="C82" s="101">
        <v>1.4</v>
      </c>
      <c r="D82" s="97" t="s">
        <v>124</v>
      </c>
      <c r="H82" s="7" t="s">
        <v>20</v>
      </c>
      <c r="I82" s="80">
        <v>5</v>
      </c>
      <c r="J82" s="5"/>
      <c r="K82" s="265">
        <f>C82</f>
        <v>1.4</v>
      </c>
      <c r="L82" s="46"/>
      <c r="M82" s="5"/>
      <c r="N82" s="214">
        <v>35</v>
      </c>
      <c r="O82" s="244" t="s">
        <v>125</v>
      </c>
      <c r="P82" s="225">
        <v>0</v>
      </c>
      <c r="Q82" s="215" t="s">
        <v>30</v>
      </c>
      <c r="R82" s="226"/>
      <c r="S82" s="41"/>
      <c r="T82" s="172"/>
      <c r="U82" s="125"/>
      <c r="V82" s="5"/>
    </row>
    <row r="83" spans="1:22" s="6" customFormat="1" ht="18" customHeight="1" thickBot="1" x14ac:dyDescent="0.45">
      <c r="A83" s="36"/>
      <c r="B83" s="30"/>
      <c r="C83" s="101"/>
      <c r="D83" s="97"/>
      <c r="H83" s="7"/>
      <c r="I83" s="273"/>
      <c r="J83" s="5"/>
      <c r="K83" s="14"/>
      <c r="L83" s="14"/>
      <c r="M83" s="5"/>
      <c r="N83" s="214">
        <v>36</v>
      </c>
      <c r="O83" s="244" t="s">
        <v>126</v>
      </c>
      <c r="P83" s="225">
        <v>0</v>
      </c>
      <c r="Q83" s="215" t="s">
        <v>30</v>
      </c>
      <c r="R83" s="226"/>
      <c r="S83" s="5"/>
      <c r="T83" s="172"/>
      <c r="U83" s="125"/>
      <c r="V83" s="5"/>
    </row>
    <row r="84" spans="1:22" s="6" customFormat="1" ht="18" customHeight="1" x14ac:dyDescent="0.4">
      <c r="A84" s="36"/>
      <c r="B84" s="30">
        <v>2</v>
      </c>
      <c r="C84" s="151" t="s">
        <v>127</v>
      </c>
      <c r="D84" s="97"/>
      <c r="F84" s="23"/>
      <c r="G84" s="5"/>
      <c r="H84" s="274" t="s">
        <v>18</v>
      </c>
      <c r="I84" s="105">
        <f>(SUM(I85:I86)+IF(I87=Normalize!G43,5,IF(I87&lt;Normalize!G43,5,IF(I87&gt;Normalize!I43,0,5-((I87-Normalize!G43)/(Normalize!I43-Normalize!G43))*5))))/3</f>
        <v>3.3333333333333335</v>
      </c>
      <c r="J84" s="5"/>
      <c r="K84" s="136"/>
      <c r="L84" s="2"/>
      <c r="M84" s="5"/>
      <c r="N84" s="227">
        <v>37</v>
      </c>
      <c r="O84" s="246" t="s">
        <v>128</v>
      </c>
      <c r="P84" s="229">
        <v>0</v>
      </c>
      <c r="Q84" s="228" t="s">
        <v>30</v>
      </c>
      <c r="R84" s="230"/>
      <c r="S84" s="5"/>
      <c r="T84" s="172"/>
      <c r="U84" s="125"/>
      <c r="V84" s="5"/>
    </row>
    <row r="85" spans="1:22" s="6" customFormat="1" ht="18" customHeight="1" x14ac:dyDescent="0.4">
      <c r="A85" s="36"/>
      <c r="B85" s="30"/>
      <c r="C85" s="101">
        <v>2.1</v>
      </c>
      <c r="D85" s="97" t="s">
        <v>129</v>
      </c>
      <c r="F85" s="23"/>
      <c r="G85" s="5"/>
      <c r="H85" s="7" t="s">
        <v>20</v>
      </c>
      <c r="I85" s="277">
        <v>5</v>
      </c>
      <c r="J85" s="5"/>
      <c r="K85" s="265">
        <f>C85</f>
        <v>2.1</v>
      </c>
      <c r="L85" s="46"/>
      <c r="M85" s="5"/>
      <c r="N85" s="214">
        <v>38</v>
      </c>
      <c r="O85" s="244" t="s">
        <v>130</v>
      </c>
      <c r="P85" s="225">
        <v>0</v>
      </c>
      <c r="Q85" s="215" t="s">
        <v>34</v>
      </c>
      <c r="R85" s="226"/>
      <c r="S85" s="5"/>
      <c r="T85" s="172"/>
      <c r="U85" s="125"/>
      <c r="V85" s="5"/>
    </row>
    <row r="86" spans="1:22" s="6" customFormat="1" ht="17" customHeight="1" x14ac:dyDescent="0.4">
      <c r="A86" s="36"/>
      <c r="B86" s="30"/>
      <c r="C86" s="101">
        <v>2.2000000000000002</v>
      </c>
      <c r="D86" s="97" t="s">
        <v>131</v>
      </c>
      <c r="F86" s="23"/>
      <c r="G86" s="5"/>
      <c r="H86" s="7" t="s">
        <v>20</v>
      </c>
      <c r="I86" s="132">
        <v>0</v>
      </c>
      <c r="J86" s="5"/>
      <c r="K86" s="265">
        <f>C86</f>
        <v>2.2000000000000002</v>
      </c>
      <c r="L86" s="46"/>
      <c r="M86" s="5"/>
      <c r="N86" s="214">
        <v>39</v>
      </c>
      <c r="O86" s="244" t="s">
        <v>132</v>
      </c>
      <c r="P86" s="225">
        <v>0</v>
      </c>
      <c r="Q86" s="215" t="s">
        <v>34</v>
      </c>
      <c r="R86" s="226"/>
      <c r="S86" s="5"/>
      <c r="T86" s="172"/>
      <c r="U86" s="125"/>
      <c r="V86" s="5"/>
    </row>
    <row r="87" spans="1:22" s="6" customFormat="1" ht="17" customHeight="1" thickBot="1" x14ac:dyDescent="0.45">
      <c r="A87" s="36"/>
      <c r="B87" s="30"/>
      <c r="C87" s="101">
        <v>2.2999999999999998</v>
      </c>
      <c r="D87" s="97" t="s">
        <v>133</v>
      </c>
      <c r="H87" s="7" t="s">
        <v>33</v>
      </c>
      <c r="I87" s="102">
        <v>0</v>
      </c>
      <c r="J87" s="5"/>
      <c r="K87" s="265">
        <f>C87</f>
        <v>2.2999999999999998</v>
      </c>
      <c r="L87" s="46"/>
      <c r="M87" s="5"/>
      <c r="N87" s="214">
        <v>40</v>
      </c>
      <c r="O87" s="244" t="s">
        <v>134</v>
      </c>
      <c r="P87" s="225">
        <v>0</v>
      </c>
      <c r="Q87" s="215" t="s">
        <v>34</v>
      </c>
      <c r="R87" s="226"/>
      <c r="S87" s="5"/>
      <c r="T87" s="172"/>
      <c r="U87" s="125"/>
      <c r="V87" s="5"/>
    </row>
    <row r="88" spans="1:22" s="6" customFormat="1" ht="17.5" customHeight="1" thickBot="1" x14ac:dyDescent="0.45">
      <c r="A88" s="36"/>
      <c r="B88" s="30"/>
      <c r="D88" s="23"/>
      <c r="H88" s="7"/>
      <c r="I88" s="38"/>
      <c r="J88" s="5"/>
      <c r="K88" s="14"/>
      <c r="L88" s="14"/>
      <c r="M88" s="5"/>
      <c r="N88" s="214">
        <v>41</v>
      </c>
      <c r="O88" s="244" t="s">
        <v>135</v>
      </c>
      <c r="P88" s="225">
        <v>0</v>
      </c>
      <c r="Q88" s="215" t="s">
        <v>34</v>
      </c>
      <c r="R88" s="226"/>
      <c r="S88" s="5"/>
      <c r="T88" s="172"/>
      <c r="U88" s="125"/>
      <c r="V88" s="5"/>
    </row>
    <row r="89" spans="1:22" s="6" customFormat="1" ht="17.5" customHeight="1" x14ac:dyDescent="0.4">
      <c r="A89" s="36"/>
      <c r="B89" s="30">
        <v>3</v>
      </c>
      <c r="C89" s="278" t="s">
        <v>136</v>
      </c>
      <c r="D89" s="279"/>
      <c r="F89" s="279"/>
      <c r="G89" s="130"/>
      <c r="H89" s="100" t="s">
        <v>18</v>
      </c>
      <c r="I89" s="105">
        <f>((I90/8)*5+(I91/79)*5+I92)/3</f>
        <v>0.14767932489451477</v>
      </c>
      <c r="J89" s="5"/>
      <c r="K89" s="14"/>
      <c r="L89" s="14"/>
      <c r="M89" s="5"/>
      <c r="N89" s="214">
        <v>42</v>
      </c>
      <c r="O89" s="244" t="s">
        <v>137</v>
      </c>
      <c r="P89" s="225">
        <v>0</v>
      </c>
      <c r="Q89" s="215" t="s">
        <v>34</v>
      </c>
      <c r="R89" s="226" t="s">
        <v>138</v>
      </c>
      <c r="S89" s="5"/>
      <c r="T89" s="172"/>
      <c r="U89" s="125"/>
      <c r="V89" s="5"/>
    </row>
    <row r="90" spans="1:22" s="6" customFormat="1" ht="18" customHeight="1" x14ac:dyDescent="0.4">
      <c r="A90" s="36"/>
      <c r="B90" s="30"/>
      <c r="C90" s="101" t="s">
        <v>139</v>
      </c>
      <c r="D90" s="97" t="s">
        <v>140</v>
      </c>
      <c r="F90" s="23"/>
      <c r="G90" s="5"/>
      <c r="H90" s="41" t="s">
        <v>141</v>
      </c>
      <c r="I90" s="121">
        <f>P41</f>
        <v>0</v>
      </c>
      <c r="J90" s="149" t="s">
        <v>18</v>
      </c>
      <c r="K90" s="265" t="str">
        <f>C90</f>
        <v>2.1</v>
      </c>
      <c r="L90" s="46"/>
      <c r="M90" s="5"/>
      <c r="N90" s="214">
        <v>43</v>
      </c>
      <c r="O90" s="244" t="s">
        <v>142</v>
      </c>
      <c r="P90" s="225">
        <v>0</v>
      </c>
      <c r="Q90" s="215" t="s">
        <v>34</v>
      </c>
      <c r="R90" s="226"/>
      <c r="S90" s="5"/>
      <c r="T90" s="172"/>
      <c r="U90" s="125"/>
      <c r="V90" s="5"/>
    </row>
    <row r="91" spans="1:22" s="6" customFormat="1" ht="17" customHeight="1" x14ac:dyDescent="0.4">
      <c r="A91" s="36"/>
      <c r="B91" s="30"/>
      <c r="C91" s="101" t="s">
        <v>143</v>
      </c>
      <c r="D91" s="97" t="s">
        <v>144</v>
      </c>
      <c r="F91" s="23"/>
      <c r="G91" s="5"/>
      <c r="H91" s="41" t="s">
        <v>145</v>
      </c>
      <c r="I91" s="121">
        <f>P127</f>
        <v>7</v>
      </c>
      <c r="J91" s="149" t="s">
        <v>18</v>
      </c>
      <c r="K91" s="265" t="str">
        <f>C91</f>
        <v>2.2</v>
      </c>
      <c r="L91" s="46"/>
      <c r="M91" s="5"/>
      <c r="N91" s="214">
        <v>44</v>
      </c>
      <c r="O91" s="244" t="s">
        <v>146</v>
      </c>
      <c r="P91" s="225">
        <v>0</v>
      </c>
      <c r="Q91" s="215" t="s">
        <v>34</v>
      </c>
      <c r="R91" s="226"/>
      <c r="S91" s="5"/>
      <c r="T91" s="172"/>
      <c r="U91" s="125"/>
      <c r="V91" s="5"/>
    </row>
    <row r="92" spans="1:22" s="6" customFormat="1" ht="18.5" customHeight="1" thickBot="1" x14ac:dyDescent="0.45">
      <c r="A92" s="36"/>
      <c r="B92" s="30"/>
      <c r="C92" s="101" t="s">
        <v>147</v>
      </c>
      <c r="D92" s="97" t="s">
        <v>148</v>
      </c>
      <c r="F92" s="23"/>
      <c r="G92" s="5"/>
      <c r="H92" s="7" t="s">
        <v>20</v>
      </c>
      <c r="I92" s="102">
        <v>0</v>
      </c>
      <c r="J92" s="5"/>
      <c r="K92" s="265" t="str">
        <f>C92</f>
        <v>2.3</v>
      </c>
      <c r="L92" s="46"/>
      <c r="M92" s="5"/>
      <c r="N92" s="214">
        <v>45</v>
      </c>
      <c r="O92" s="244" t="s">
        <v>149</v>
      </c>
      <c r="P92" s="225">
        <v>5</v>
      </c>
      <c r="Q92" s="215" t="s">
        <v>34</v>
      </c>
      <c r="R92" s="226"/>
      <c r="S92" s="5"/>
      <c r="T92" s="172"/>
      <c r="U92" s="125"/>
      <c r="V92" s="5"/>
    </row>
    <row r="93" spans="1:22" s="6" customFormat="1" ht="15.5" customHeight="1" thickBot="1" x14ac:dyDescent="0.45">
      <c r="A93" s="36"/>
      <c r="B93" s="30"/>
      <c r="C93" s="67"/>
      <c r="D93" s="97"/>
      <c r="F93" s="23"/>
      <c r="G93" s="5"/>
      <c r="H93" s="7"/>
      <c r="I93" s="38"/>
      <c r="J93" s="5"/>
      <c r="K93" s="14"/>
      <c r="L93" s="14"/>
      <c r="M93" s="5"/>
      <c r="N93" s="227">
        <v>46</v>
      </c>
      <c r="O93" s="246" t="s">
        <v>150</v>
      </c>
      <c r="P93" s="229">
        <v>0</v>
      </c>
      <c r="Q93" s="228" t="s">
        <v>34</v>
      </c>
      <c r="R93" s="230"/>
      <c r="S93" s="5"/>
      <c r="T93" s="172"/>
      <c r="U93" s="125"/>
      <c r="V93" s="5"/>
    </row>
    <row r="94" spans="1:22" s="6" customFormat="1" ht="15.5" customHeight="1" thickBot="1" x14ac:dyDescent="0.45">
      <c r="A94" s="36"/>
      <c r="B94" s="30">
        <v>4</v>
      </c>
      <c r="C94" s="99" t="s">
        <v>151</v>
      </c>
      <c r="H94" s="100" t="s">
        <v>152</v>
      </c>
      <c r="I94" s="123">
        <f>(I95*6+I121*18+I102*32)/56</f>
        <v>2.8093998015873014</v>
      </c>
      <c r="J94" s="5"/>
      <c r="K94" s="14"/>
      <c r="L94" s="14"/>
      <c r="M94" s="5"/>
      <c r="N94" s="214">
        <v>47</v>
      </c>
      <c r="O94" s="244" t="s">
        <v>153</v>
      </c>
      <c r="P94" s="225">
        <v>0</v>
      </c>
      <c r="Q94" s="215" t="s">
        <v>82</v>
      </c>
      <c r="R94" s="226"/>
      <c r="S94" s="5"/>
      <c r="T94" s="172"/>
      <c r="U94" s="125"/>
      <c r="V94" s="5"/>
    </row>
    <row r="95" spans="1:22" s="6" customFormat="1" ht="15.5" customHeight="1" x14ac:dyDescent="0.4">
      <c r="A95" s="36"/>
      <c r="B95" s="30"/>
      <c r="C95" s="101">
        <v>4.0999999999999996</v>
      </c>
      <c r="D95" s="140" t="s">
        <v>154</v>
      </c>
      <c r="F95" s="142"/>
      <c r="G95" s="142"/>
      <c r="H95" s="100" t="s">
        <v>22</v>
      </c>
      <c r="I95" s="144">
        <f>SUM(I96:I101)/6</f>
        <v>2.5</v>
      </c>
      <c r="J95" s="5"/>
      <c r="K95" s="14"/>
      <c r="L95" s="14"/>
      <c r="M95" s="5"/>
      <c r="N95" s="214">
        <v>48</v>
      </c>
      <c r="O95" s="244" t="s">
        <v>155</v>
      </c>
      <c r="P95" s="225">
        <v>0</v>
      </c>
      <c r="Q95" s="215" t="s">
        <v>82</v>
      </c>
      <c r="R95" s="226"/>
      <c r="S95" s="5"/>
      <c r="T95" s="172"/>
      <c r="U95" s="125"/>
      <c r="V95" s="5"/>
    </row>
    <row r="96" spans="1:22" s="6" customFormat="1" ht="15.5" customHeight="1" x14ac:dyDescent="0.4">
      <c r="A96" s="36"/>
      <c r="B96" s="30"/>
      <c r="D96" s="6" t="s">
        <v>156</v>
      </c>
      <c r="E96" s="142" t="s">
        <v>157</v>
      </c>
      <c r="G96" s="142"/>
      <c r="H96" s="7" t="s">
        <v>20</v>
      </c>
      <c r="I96" s="102">
        <v>0</v>
      </c>
      <c r="J96" s="5"/>
      <c r="K96" s="265" t="str">
        <f t="shared" ref="K96:K101" si="2">D96</f>
        <v>4.1.1</v>
      </c>
      <c r="L96" s="46"/>
      <c r="M96" s="5"/>
      <c r="N96" s="214">
        <v>49</v>
      </c>
      <c r="O96" s="244" t="s">
        <v>158</v>
      </c>
      <c r="P96" s="225">
        <v>0</v>
      </c>
      <c r="Q96" s="215" t="s">
        <v>82</v>
      </c>
      <c r="R96" s="226"/>
      <c r="S96" s="5"/>
      <c r="T96" s="172"/>
      <c r="U96" s="125"/>
      <c r="V96" s="5"/>
    </row>
    <row r="97" spans="1:22" s="6" customFormat="1" ht="15.5" customHeight="1" x14ac:dyDescent="0.4">
      <c r="A97" s="36"/>
      <c r="B97" s="30"/>
      <c r="D97" s="6" t="s">
        <v>159</v>
      </c>
      <c r="E97" s="142" t="s">
        <v>160</v>
      </c>
      <c r="G97" s="142"/>
      <c r="H97" s="7" t="s">
        <v>20</v>
      </c>
      <c r="I97" s="102">
        <v>5</v>
      </c>
      <c r="J97" s="5"/>
      <c r="K97" s="265" t="str">
        <f t="shared" si="2"/>
        <v>4.1.2</v>
      </c>
      <c r="L97" s="46"/>
      <c r="M97" s="5"/>
      <c r="N97" s="214">
        <v>50</v>
      </c>
      <c r="O97" s="244" t="s">
        <v>161</v>
      </c>
      <c r="P97" s="225">
        <v>0</v>
      </c>
      <c r="Q97" s="215" t="s">
        <v>82</v>
      </c>
      <c r="R97" s="226"/>
      <c r="S97" s="5"/>
      <c r="T97" s="172"/>
      <c r="U97" s="125"/>
      <c r="V97" s="5"/>
    </row>
    <row r="98" spans="1:22" s="6" customFormat="1" ht="17" customHeight="1" x14ac:dyDescent="0.4">
      <c r="D98" s="6" t="s">
        <v>162</v>
      </c>
      <c r="E98" s="142" t="s">
        <v>163</v>
      </c>
      <c r="G98" s="142"/>
      <c r="H98" s="7" t="s">
        <v>20</v>
      </c>
      <c r="I98" s="102">
        <v>0</v>
      </c>
      <c r="K98" s="265" t="str">
        <f t="shared" si="2"/>
        <v>4.1.3</v>
      </c>
      <c r="L98" s="46"/>
      <c r="M98" s="5"/>
      <c r="N98" s="214">
        <v>51</v>
      </c>
      <c r="O98" s="244" t="s">
        <v>164</v>
      </c>
      <c r="P98" s="225">
        <v>0</v>
      </c>
      <c r="Q98" s="215" t="s">
        <v>82</v>
      </c>
      <c r="R98" s="226" t="s">
        <v>165</v>
      </c>
      <c r="S98" s="5"/>
      <c r="T98" s="172"/>
      <c r="U98" s="125"/>
      <c r="V98" s="5"/>
    </row>
    <row r="99" spans="1:22" s="6" customFormat="1" ht="18" customHeight="1" thickBot="1" x14ac:dyDescent="0.45">
      <c r="D99" s="6" t="s">
        <v>166</v>
      </c>
      <c r="E99" s="142" t="s">
        <v>167</v>
      </c>
      <c r="G99" s="142"/>
      <c r="H99" s="7" t="s">
        <v>20</v>
      </c>
      <c r="I99" s="102">
        <v>5</v>
      </c>
      <c r="K99" s="265" t="str">
        <f t="shared" si="2"/>
        <v>4.1.4</v>
      </c>
      <c r="L99" s="46"/>
      <c r="M99" s="5"/>
      <c r="N99" s="214">
        <v>52</v>
      </c>
      <c r="O99" s="244" t="s">
        <v>168</v>
      </c>
      <c r="P99" s="225">
        <v>0</v>
      </c>
      <c r="Q99" s="215" t="s">
        <v>82</v>
      </c>
      <c r="R99" s="226"/>
      <c r="S99" s="5"/>
      <c r="T99" s="172"/>
      <c r="U99" s="125"/>
      <c r="V99" s="5"/>
    </row>
    <row r="100" spans="1:22" s="6" customFormat="1" ht="15.5" customHeight="1" thickBot="1" x14ac:dyDescent="0.45">
      <c r="A100" s="36"/>
      <c r="B100" s="30"/>
      <c r="D100" s="6" t="s">
        <v>169</v>
      </c>
      <c r="E100" s="142" t="s">
        <v>170</v>
      </c>
      <c r="G100" s="142"/>
      <c r="H100" s="7" t="s">
        <v>20</v>
      </c>
      <c r="I100" s="102">
        <v>5</v>
      </c>
      <c r="K100" s="265" t="str">
        <f t="shared" si="2"/>
        <v>4.1.5</v>
      </c>
      <c r="L100" s="46"/>
      <c r="M100" s="5"/>
      <c r="N100" s="227">
        <v>53</v>
      </c>
      <c r="O100" s="246" t="s">
        <v>171</v>
      </c>
      <c r="P100" s="229">
        <v>0</v>
      </c>
      <c r="Q100" s="228" t="s">
        <v>82</v>
      </c>
      <c r="R100" s="230"/>
      <c r="S100" s="5"/>
      <c r="T100" s="172"/>
      <c r="U100" s="125"/>
      <c r="V100" s="5"/>
    </row>
    <row r="101" spans="1:22" s="6" customFormat="1" ht="18" customHeight="1" thickBot="1" x14ac:dyDescent="0.45">
      <c r="A101" s="36"/>
      <c r="B101" s="30"/>
      <c r="D101" s="6" t="s">
        <v>172</v>
      </c>
      <c r="E101" s="142" t="s">
        <v>173</v>
      </c>
      <c r="G101" s="142"/>
      <c r="H101" s="7" t="s">
        <v>20</v>
      </c>
      <c r="I101" s="102">
        <v>0</v>
      </c>
      <c r="K101" s="265" t="str">
        <f t="shared" si="2"/>
        <v>4.1.6</v>
      </c>
      <c r="L101" s="46"/>
      <c r="M101" s="5"/>
      <c r="N101" s="214">
        <v>54</v>
      </c>
      <c r="O101" s="244" t="s">
        <v>174</v>
      </c>
      <c r="P101" s="225">
        <v>0</v>
      </c>
      <c r="Q101" s="215" t="s">
        <v>39</v>
      </c>
      <c r="R101" s="226"/>
      <c r="S101" s="5"/>
      <c r="T101" s="172"/>
      <c r="U101" s="125"/>
      <c r="V101" s="5"/>
    </row>
    <row r="102" spans="1:22" s="6" customFormat="1" ht="18" customHeight="1" x14ac:dyDescent="0.4">
      <c r="A102" s="36"/>
      <c r="B102" s="30"/>
      <c r="C102" s="101">
        <v>4.2</v>
      </c>
      <c r="D102" s="140" t="s">
        <v>175</v>
      </c>
      <c r="F102" s="142"/>
      <c r="G102" s="142"/>
      <c r="H102" s="100" t="s">
        <v>22</v>
      </c>
      <c r="I102" s="144">
        <f>SUM(I103:I120)/18</f>
        <v>2.7777777777777777</v>
      </c>
      <c r="K102" s="14"/>
      <c r="L102" s="14"/>
      <c r="M102" s="5"/>
      <c r="N102" s="227">
        <v>55</v>
      </c>
      <c r="O102" s="246" t="s">
        <v>39</v>
      </c>
      <c r="P102" s="229">
        <v>0</v>
      </c>
      <c r="Q102" s="228" t="s">
        <v>39</v>
      </c>
      <c r="R102" s="230" t="s">
        <v>176</v>
      </c>
      <c r="S102" s="5"/>
      <c r="T102" s="172"/>
      <c r="U102" s="125"/>
      <c r="V102" s="5"/>
    </row>
    <row r="103" spans="1:22" s="6" customFormat="1" ht="18" customHeight="1" x14ac:dyDescent="0.4">
      <c r="A103" s="36"/>
      <c r="B103" s="30"/>
      <c r="D103" s="6" t="s">
        <v>177</v>
      </c>
      <c r="E103" s="142" t="s">
        <v>178</v>
      </c>
      <c r="G103" s="142"/>
      <c r="H103" s="7" t="s">
        <v>20</v>
      </c>
      <c r="I103" s="102">
        <v>0</v>
      </c>
      <c r="K103" s="265" t="str">
        <f t="shared" ref="K103:K120" si="3">D103</f>
        <v>4.2.1</v>
      </c>
      <c r="L103" s="46"/>
      <c r="M103" s="120"/>
      <c r="N103" s="214">
        <v>56</v>
      </c>
      <c r="O103" s="244" t="s">
        <v>179</v>
      </c>
      <c r="P103" s="225">
        <v>0</v>
      </c>
      <c r="Q103" s="215" t="s">
        <v>41</v>
      </c>
      <c r="R103" s="226"/>
      <c r="S103" s="5"/>
      <c r="T103" s="172"/>
      <c r="U103" s="125"/>
      <c r="V103" s="5"/>
    </row>
    <row r="104" spans="1:22" s="6" customFormat="1" ht="17" customHeight="1" x14ac:dyDescent="0.4">
      <c r="A104" s="36"/>
      <c r="B104" s="30"/>
      <c r="D104" s="6" t="s">
        <v>180</v>
      </c>
      <c r="E104" s="142" t="s">
        <v>181</v>
      </c>
      <c r="G104" s="142"/>
      <c r="H104" s="7" t="s">
        <v>20</v>
      </c>
      <c r="I104" s="102">
        <v>5</v>
      </c>
      <c r="K104" s="265" t="str">
        <f t="shared" si="3"/>
        <v>4.2.2</v>
      </c>
      <c r="L104" s="46"/>
      <c r="M104" s="5"/>
      <c r="N104" s="214">
        <v>57</v>
      </c>
      <c r="O104" s="244" t="s">
        <v>182</v>
      </c>
      <c r="P104" s="225">
        <v>0</v>
      </c>
      <c r="Q104" s="215" t="s">
        <v>41</v>
      </c>
      <c r="R104" s="226" t="s">
        <v>183</v>
      </c>
      <c r="S104" s="5"/>
      <c r="T104" s="172"/>
      <c r="U104" s="125"/>
      <c r="V104" s="5"/>
    </row>
    <row r="105" spans="1:22" s="6" customFormat="1" ht="17" customHeight="1" thickBot="1" x14ac:dyDescent="0.45">
      <c r="A105" s="36"/>
      <c r="B105" s="30"/>
      <c r="D105" s="6" t="s">
        <v>184</v>
      </c>
      <c r="E105" s="142" t="s">
        <v>185</v>
      </c>
      <c r="G105" s="142"/>
      <c r="H105" s="7" t="s">
        <v>20</v>
      </c>
      <c r="I105" s="102">
        <v>0</v>
      </c>
      <c r="K105" s="265" t="str">
        <f t="shared" si="3"/>
        <v>4.2.3</v>
      </c>
      <c r="L105" s="46"/>
      <c r="M105" s="5"/>
      <c r="N105" s="214">
        <v>58</v>
      </c>
      <c r="O105" s="244" t="s">
        <v>186</v>
      </c>
      <c r="P105" s="225">
        <v>0</v>
      </c>
      <c r="Q105" s="215" t="s">
        <v>41</v>
      </c>
      <c r="R105" s="226"/>
      <c r="S105" s="5"/>
      <c r="T105" s="172"/>
      <c r="U105" s="125"/>
      <c r="V105" s="5"/>
    </row>
    <row r="106" spans="1:22" s="6" customFormat="1" ht="18" customHeight="1" thickBot="1" x14ac:dyDescent="0.45">
      <c r="A106" s="36"/>
      <c r="B106" s="30"/>
      <c r="D106" s="6" t="s">
        <v>187</v>
      </c>
      <c r="E106" s="142" t="s">
        <v>188</v>
      </c>
      <c r="G106" s="142"/>
      <c r="H106" s="7" t="s">
        <v>20</v>
      </c>
      <c r="I106" s="102">
        <v>5</v>
      </c>
      <c r="K106" s="265" t="str">
        <f t="shared" si="3"/>
        <v>4.2.4</v>
      </c>
      <c r="L106" s="46"/>
      <c r="M106" s="5"/>
      <c r="N106" s="227">
        <v>59</v>
      </c>
      <c r="O106" s="246" t="s">
        <v>189</v>
      </c>
      <c r="P106" s="229">
        <v>0</v>
      </c>
      <c r="Q106" s="228" t="s">
        <v>41</v>
      </c>
      <c r="R106" s="230"/>
      <c r="S106" s="5"/>
      <c r="T106" s="172"/>
      <c r="U106" s="125"/>
      <c r="V106" s="5"/>
    </row>
    <row r="107" spans="1:22" s="6" customFormat="1" ht="18" customHeight="1" x14ac:dyDescent="0.4">
      <c r="A107" s="36"/>
      <c r="D107" s="6" t="s">
        <v>190</v>
      </c>
      <c r="E107" s="142" t="s">
        <v>191</v>
      </c>
      <c r="G107" s="142"/>
      <c r="H107" s="7" t="s">
        <v>20</v>
      </c>
      <c r="I107" s="102">
        <v>5</v>
      </c>
      <c r="J107" s="5"/>
      <c r="K107" s="265" t="str">
        <f t="shared" si="3"/>
        <v>4.2.5</v>
      </c>
      <c r="L107" s="46"/>
      <c r="M107" s="5"/>
      <c r="N107" s="214">
        <v>60</v>
      </c>
      <c r="O107" s="244" t="s">
        <v>192</v>
      </c>
      <c r="P107" s="225">
        <v>0</v>
      </c>
      <c r="Q107" s="215" t="s">
        <v>43</v>
      </c>
      <c r="R107" s="226"/>
      <c r="S107" s="5"/>
      <c r="T107" s="172"/>
      <c r="U107" s="125"/>
      <c r="V107" s="5"/>
    </row>
    <row r="108" spans="1:22" s="6" customFormat="1" ht="18" customHeight="1" x14ac:dyDescent="0.4">
      <c r="A108" s="36"/>
      <c r="D108" s="6" t="s">
        <v>193</v>
      </c>
      <c r="E108" s="142" t="s">
        <v>194</v>
      </c>
      <c r="G108" s="142"/>
      <c r="H108" s="7" t="s">
        <v>20</v>
      </c>
      <c r="I108" s="102">
        <v>0</v>
      </c>
      <c r="J108" s="5"/>
      <c r="K108" s="265" t="str">
        <f t="shared" si="3"/>
        <v>4.2.6</v>
      </c>
      <c r="L108" s="46"/>
      <c r="M108" s="5"/>
      <c r="N108" s="214">
        <v>61</v>
      </c>
      <c r="O108" s="244" t="s">
        <v>195</v>
      </c>
      <c r="P108" s="225">
        <v>0</v>
      </c>
      <c r="Q108" s="215" t="s">
        <v>43</v>
      </c>
      <c r="R108" s="226"/>
      <c r="S108" s="5"/>
      <c r="T108" s="172"/>
      <c r="U108" s="125"/>
      <c r="V108" s="5"/>
    </row>
    <row r="109" spans="1:22" s="6" customFormat="1" ht="18" customHeight="1" x14ac:dyDescent="0.4">
      <c r="A109" s="36"/>
      <c r="D109" s="6" t="s">
        <v>196</v>
      </c>
      <c r="E109" s="142" t="s">
        <v>197</v>
      </c>
      <c r="G109" s="142"/>
      <c r="H109" s="7" t="s">
        <v>20</v>
      </c>
      <c r="I109" s="102">
        <v>5</v>
      </c>
      <c r="J109" s="5"/>
      <c r="K109" s="265" t="str">
        <f t="shared" si="3"/>
        <v>4.2.7</v>
      </c>
      <c r="L109" s="46"/>
      <c r="M109" s="5"/>
      <c r="N109" s="214">
        <v>62</v>
      </c>
      <c r="O109" s="244" t="s">
        <v>134</v>
      </c>
      <c r="P109" s="225">
        <v>5</v>
      </c>
      <c r="Q109" s="215" t="s">
        <v>43</v>
      </c>
      <c r="R109" s="226"/>
      <c r="S109" s="5"/>
      <c r="T109" s="172"/>
      <c r="U109" s="125"/>
      <c r="V109" s="5"/>
    </row>
    <row r="110" spans="1:22" s="6" customFormat="1" ht="18" customHeight="1" x14ac:dyDescent="0.4">
      <c r="A110" s="36"/>
      <c r="D110" s="6" t="s">
        <v>198</v>
      </c>
      <c r="E110" s="142" t="s">
        <v>199</v>
      </c>
      <c r="G110" s="142"/>
      <c r="H110" s="7" t="s">
        <v>20</v>
      </c>
      <c r="I110" s="102">
        <v>0</v>
      </c>
      <c r="J110" s="5"/>
      <c r="K110" s="265" t="str">
        <f t="shared" si="3"/>
        <v>4.2.8</v>
      </c>
      <c r="L110" s="46"/>
      <c r="M110" s="5"/>
      <c r="N110" s="214">
        <v>63</v>
      </c>
      <c r="O110" s="244" t="s">
        <v>200</v>
      </c>
      <c r="P110" s="225">
        <v>0</v>
      </c>
      <c r="Q110" s="215" t="s">
        <v>43</v>
      </c>
      <c r="R110" s="226"/>
      <c r="S110" s="5"/>
      <c r="T110" s="172"/>
      <c r="U110" s="125"/>
      <c r="V110" s="5"/>
    </row>
    <row r="111" spans="1:22" s="6" customFormat="1" ht="18" customHeight="1" x14ac:dyDescent="0.4">
      <c r="A111" s="36"/>
      <c r="B111" s="30"/>
      <c r="D111" s="6" t="s">
        <v>201</v>
      </c>
      <c r="E111" s="142" t="s">
        <v>202</v>
      </c>
      <c r="G111" s="142"/>
      <c r="H111" s="7" t="s">
        <v>20</v>
      </c>
      <c r="I111" s="102">
        <v>5</v>
      </c>
      <c r="J111" s="5"/>
      <c r="K111" s="265" t="str">
        <f t="shared" si="3"/>
        <v>4.2.9</v>
      </c>
      <c r="L111" s="46"/>
      <c r="M111" s="5"/>
      <c r="N111" s="214">
        <v>64</v>
      </c>
      <c r="O111" s="244" t="s">
        <v>203</v>
      </c>
      <c r="P111" s="225">
        <v>5</v>
      </c>
      <c r="Q111" s="215" t="s">
        <v>43</v>
      </c>
      <c r="R111" s="226"/>
      <c r="S111" s="5"/>
      <c r="T111" s="172"/>
      <c r="U111" s="125"/>
      <c r="V111" s="5"/>
    </row>
    <row r="112" spans="1:22" s="6" customFormat="1" ht="18" customHeight="1" x14ac:dyDescent="0.4">
      <c r="A112" s="36"/>
      <c r="B112" s="30"/>
      <c r="D112" s="6" t="s">
        <v>204</v>
      </c>
      <c r="E112" s="142" t="s">
        <v>205</v>
      </c>
      <c r="G112" s="142"/>
      <c r="H112" s="7" t="s">
        <v>20</v>
      </c>
      <c r="I112" s="102">
        <v>0</v>
      </c>
      <c r="J112" s="5"/>
      <c r="K112" s="265" t="str">
        <f t="shared" si="3"/>
        <v>4.2.10</v>
      </c>
      <c r="L112" s="46"/>
      <c r="M112" s="5"/>
      <c r="N112" s="214">
        <v>65</v>
      </c>
      <c r="O112" s="244" t="s">
        <v>206</v>
      </c>
      <c r="P112" s="225">
        <v>0</v>
      </c>
      <c r="Q112" s="215" t="s">
        <v>43</v>
      </c>
      <c r="R112" s="226" t="s">
        <v>207</v>
      </c>
      <c r="S112" s="5"/>
      <c r="T112" s="172"/>
      <c r="U112" s="125"/>
      <c r="V112" s="5"/>
    </row>
    <row r="113" spans="1:22" s="6" customFormat="1" ht="18" customHeight="1" x14ac:dyDescent="0.4">
      <c r="A113" s="36"/>
      <c r="B113" s="30"/>
      <c r="D113" s="6" t="s">
        <v>208</v>
      </c>
      <c r="E113" s="142" t="s">
        <v>209</v>
      </c>
      <c r="G113" s="142"/>
      <c r="H113" s="7" t="s">
        <v>20</v>
      </c>
      <c r="I113" s="102">
        <v>5</v>
      </c>
      <c r="J113" s="5"/>
      <c r="K113" s="265" t="str">
        <f t="shared" si="3"/>
        <v>4.2.11</v>
      </c>
      <c r="L113" s="46"/>
      <c r="M113" s="5"/>
      <c r="N113" s="214">
        <v>66</v>
      </c>
      <c r="O113" s="244" t="s">
        <v>210</v>
      </c>
      <c r="P113" s="225">
        <v>0</v>
      </c>
      <c r="Q113" s="215" t="s">
        <v>43</v>
      </c>
      <c r="R113" s="226"/>
      <c r="S113" s="5"/>
      <c r="T113" s="172"/>
      <c r="U113" s="125"/>
      <c r="V113" s="5"/>
    </row>
    <row r="114" spans="1:22" s="6" customFormat="1" ht="18" customHeight="1" x14ac:dyDescent="0.4">
      <c r="A114" s="36"/>
      <c r="B114" s="30"/>
      <c r="D114" s="6" t="s">
        <v>211</v>
      </c>
      <c r="E114" s="142" t="s">
        <v>212</v>
      </c>
      <c r="G114" s="142"/>
      <c r="H114" s="7" t="s">
        <v>20</v>
      </c>
      <c r="I114" s="102">
        <v>5</v>
      </c>
      <c r="J114" s="5"/>
      <c r="K114" s="265" t="str">
        <f t="shared" si="3"/>
        <v>4.2.12</v>
      </c>
      <c r="L114" s="46"/>
      <c r="M114" s="5"/>
      <c r="N114" s="214">
        <v>67</v>
      </c>
      <c r="O114" s="244" t="s">
        <v>213</v>
      </c>
      <c r="P114" s="225">
        <v>0</v>
      </c>
      <c r="Q114" s="215" t="s">
        <v>43</v>
      </c>
      <c r="R114" s="226"/>
      <c r="S114" s="5"/>
      <c r="T114" s="172"/>
      <c r="U114" s="125"/>
      <c r="V114" s="5"/>
    </row>
    <row r="115" spans="1:22" s="6" customFormat="1" ht="18" customHeight="1" x14ac:dyDescent="0.4">
      <c r="A115" s="36"/>
      <c r="B115" s="30"/>
      <c r="D115" s="6" t="s">
        <v>214</v>
      </c>
      <c r="E115" s="142" t="s">
        <v>215</v>
      </c>
      <c r="G115" s="142"/>
      <c r="H115" s="7" t="s">
        <v>20</v>
      </c>
      <c r="I115" s="102">
        <v>0</v>
      </c>
      <c r="J115" s="5"/>
      <c r="K115" s="265" t="str">
        <f t="shared" si="3"/>
        <v>4.2.13</v>
      </c>
      <c r="L115" s="46"/>
      <c r="M115" s="5"/>
      <c r="N115" s="214">
        <v>68</v>
      </c>
      <c r="O115" s="244" t="s">
        <v>216</v>
      </c>
      <c r="P115" s="225">
        <v>0</v>
      </c>
      <c r="Q115" s="215" t="s">
        <v>43</v>
      </c>
      <c r="R115" s="226"/>
      <c r="S115" s="5"/>
      <c r="T115" s="172"/>
      <c r="U115" s="125"/>
      <c r="V115" s="5"/>
    </row>
    <row r="116" spans="1:22" s="6" customFormat="1" ht="17" customHeight="1" x14ac:dyDescent="0.4">
      <c r="A116" s="36"/>
      <c r="B116" s="30"/>
      <c r="D116" s="6" t="s">
        <v>217</v>
      </c>
      <c r="E116" s="142" t="s">
        <v>218</v>
      </c>
      <c r="G116" s="142"/>
      <c r="H116" s="7" t="s">
        <v>20</v>
      </c>
      <c r="I116" s="102">
        <v>5</v>
      </c>
      <c r="J116" s="5"/>
      <c r="K116" s="265" t="str">
        <f t="shared" si="3"/>
        <v>4.2.14</v>
      </c>
      <c r="L116" s="46"/>
      <c r="M116" s="5"/>
      <c r="N116" s="214">
        <v>69</v>
      </c>
      <c r="O116" s="244" t="s">
        <v>219</v>
      </c>
      <c r="P116" s="225">
        <v>0</v>
      </c>
      <c r="Q116" s="215" t="s">
        <v>43</v>
      </c>
      <c r="R116" s="226"/>
      <c r="S116" s="5"/>
      <c r="T116" s="172"/>
      <c r="U116" s="125"/>
      <c r="V116" s="5"/>
    </row>
    <row r="117" spans="1:22" s="6" customFormat="1" ht="18" customHeight="1" thickBot="1" x14ac:dyDescent="0.45">
      <c r="A117" s="36"/>
      <c r="B117" s="30"/>
      <c r="D117" s="6" t="s">
        <v>220</v>
      </c>
      <c r="E117" s="142" t="s">
        <v>221</v>
      </c>
      <c r="G117" s="142"/>
      <c r="H117" s="7" t="s">
        <v>20</v>
      </c>
      <c r="I117" s="102">
        <v>0</v>
      </c>
      <c r="J117" s="5"/>
      <c r="K117" s="265" t="str">
        <f t="shared" si="3"/>
        <v>4.2.15</v>
      </c>
      <c r="L117" s="46"/>
      <c r="M117" s="5"/>
      <c r="N117" s="214">
        <v>70</v>
      </c>
      <c r="O117" s="244" t="s">
        <v>222</v>
      </c>
      <c r="P117" s="225">
        <v>0</v>
      </c>
      <c r="Q117" s="215" t="s">
        <v>43</v>
      </c>
      <c r="R117" s="226"/>
      <c r="S117" s="5"/>
      <c r="T117" s="172"/>
      <c r="U117" s="125"/>
      <c r="V117" s="5"/>
    </row>
    <row r="118" spans="1:22" s="6" customFormat="1" ht="17" customHeight="1" x14ac:dyDescent="0.4">
      <c r="A118" s="36"/>
      <c r="B118" s="30"/>
      <c r="D118" s="6" t="s">
        <v>223</v>
      </c>
      <c r="E118" s="142" t="s">
        <v>224</v>
      </c>
      <c r="G118" s="142"/>
      <c r="H118" s="7" t="s">
        <v>20</v>
      </c>
      <c r="I118" s="102">
        <v>5</v>
      </c>
      <c r="J118" s="5"/>
      <c r="K118" s="265" t="str">
        <f t="shared" si="3"/>
        <v>4.2.16</v>
      </c>
      <c r="L118" s="46"/>
      <c r="M118" s="5"/>
      <c r="N118" s="227">
        <v>71</v>
      </c>
      <c r="O118" s="246" t="s">
        <v>225</v>
      </c>
      <c r="P118" s="229">
        <v>5</v>
      </c>
      <c r="Q118" s="228" t="s">
        <v>43</v>
      </c>
      <c r="R118" s="230"/>
      <c r="S118" s="5"/>
      <c r="T118" s="172"/>
      <c r="U118" s="125"/>
      <c r="V118" s="5"/>
    </row>
    <row r="119" spans="1:22" s="6" customFormat="1" ht="17" customHeight="1" thickBot="1" x14ac:dyDescent="0.45">
      <c r="A119" s="36"/>
      <c r="B119" s="30"/>
      <c r="D119" s="6" t="s">
        <v>226</v>
      </c>
      <c r="E119" s="142" t="s">
        <v>227</v>
      </c>
      <c r="G119" s="142"/>
      <c r="H119" s="7" t="s">
        <v>20</v>
      </c>
      <c r="I119" s="102">
        <v>0</v>
      </c>
      <c r="J119" s="5"/>
      <c r="K119" s="265" t="str">
        <f t="shared" si="3"/>
        <v>4.2.17</v>
      </c>
      <c r="L119" s="46"/>
      <c r="M119" s="5"/>
      <c r="N119" s="214">
        <v>72</v>
      </c>
      <c r="O119" s="244" t="s">
        <v>228</v>
      </c>
      <c r="P119" s="225">
        <v>0</v>
      </c>
      <c r="Q119" s="215" t="s">
        <v>45</v>
      </c>
      <c r="R119" s="226"/>
      <c r="S119" s="5"/>
      <c r="T119" s="172"/>
      <c r="U119" s="125"/>
      <c r="V119" s="5"/>
    </row>
    <row r="120" spans="1:22" s="6" customFormat="1" ht="17" customHeight="1" thickBot="1" x14ac:dyDescent="0.45">
      <c r="A120" s="36"/>
      <c r="B120" s="30"/>
      <c r="D120" s="6" t="s">
        <v>229</v>
      </c>
      <c r="E120" s="142" t="s">
        <v>230</v>
      </c>
      <c r="G120" s="142"/>
      <c r="H120" s="7" t="s">
        <v>20</v>
      </c>
      <c r="I120" s="102">
        <v>5</v>
      </c>
      <c r="J120" s="5"/>
      <c r="K120" s="265" t="str">
        <f t="shared" si="3"/>
        <v>4.2.18</v>
      </c>
      <c r="L120" s="46"/>
      <c r="M120" s="5"/>
      <c r="N120" s="214">
        <v>73</v>
      </c>
      <c r="O120" s="244" t="s">
        <v>231</v>
      </c>
      <c r="P120" s="225">
        <v>0</v>
      </c>
      <c r="Q120" s="215" t="s">
        <v>45</v>
      </c>
      <c r="R120" s="226"/>
      <c r="S120" s="5"/>
      <c r="T120" s="172"/>
      <c r="U120" s="125"/>
      <c r="V120" s="5"/>
    </row>
    <row r="121" spans="1:22" s="6" customFormat="1" ht="18" customHeight="1" thickBot="1" x14ac:dyDescent="0.45">
      <c r="A121" s="36"/>
      <c r="B121" s="30"/>
      <c r="C121" s="101">
        <v>4.3</v>
      </c>
      <c r="D121" s="140" t="s">
        <v>232</v>
      </c>
      <c r="F121" s="142"/>
      <c r="G121" s="142"/>
      <c r="H121" s="100" t="s">
        <v>22</v>
      </c>
      <c r="I121" s="144">
        <f>(I122*18+I141*8+I150*2+I153*4)/32</f>
        <v>2.96875</v>
      </c>
      <c r="J121" s="5"/>
      <c r="K121" s="136"/>
      <c r="L121" s="2"/>
      <c r="M121" s="5"/>
      <c r="N121" s="214">
        <v>74</v>
      </c>
      <c r="O121" s="244" t="s">
        <v>233</v>
      </c>
      <c r="P121" s="225">
        <v>0</v>
      </c>
      <c r="Q121" s="215" t="s">
        <v>45</v>
      </c>
      <c r="R121" s="226"/>
      <c r="S121" s="5"/>
      <c r="T121" s="172"/>
      <c r="U121" s="125"/>
      <c r="V121" s="5"/>
    </row>
    <row r="122" spans="1:22" s="6" customFormat="1" ht="18" customHeight="1" x14ac:dyDescent="0.4">
      <c r="A122" s="36"/>
      <c r="B122" s="30"/>
      <c r="D122" s="6" t="s">
        <v>234</v>
      </c>
      <c r="E122" s="140" t="s">
        <v>235</v>
      </c>
      <c r="F122" s="142"/>
      <c r="H122" s="100" t="s">
        <v>18</v>
      </c>
      <c r="I122" s="117">
        <f>SUM(I123:I140)/18</f>
        <v>3.0555555555555554</v>
      </c>
      <c r="J122" s="5"/>
      <c r="K122" s="14"/>
      <c r="L122" s="14"/>
      <c r="M122" s="5"/>
      <c r="N122" s="214">
        <v>75</v>
      </c>
      <c r="O122" s="244" t="s">
        <v>236</v>
      </c>
      <c r="P122" s="225">
        <v>0</v>
      </c>
      <c r="Q122" s="215" t="s">
        <v>45</v>
      </c>
      <c r="R122" s="226" t="s">
        <v>237</v>
      </c>
      <c r="S122" s="5"/>
      <c r="T122" s="172"/>
      <c r="U122" s="125"/>
      <c r="V122" s="5"/>
    </row>
    <row r="123" spans="1:22" s="6" customFormat="1" ht="17" customHeight="1" x14ac:dyDescent="0.4">
      <c r="A123" s="36"/>
      <c r="B123" s="30"/>
      <c r="D123" s="141"/>
      <c r="E123" s="143" t="s">
        <v>238</v>
      </c>
      <c r="F123" s="142" t="s">
        <v>239</v>
      </c>
      <c r="H123" s="7" t="s">
        <v>20</v>
      </c>
      <c r="I123" s="102">
        <v>5</v>
      </c>
      <c r="J123" s="5"/>
      <c r="K123" s="280" t="str">
        <f t="shared" ref="K123:K140" si="4">E123</f>
        <v>(1</v>
      </c>
      <c r="L123" s="46"/>
      <c r="M123" s="5"/>
      <c r="N123" s="214">
        <v>76</v>
      </c>
      <c r="O123" s="244" t="s">
        <v>240</v>
      </c>
      <c r="P123" s="225">
        <v>0</v>
      </c>
      <c r="Q123" s="215" t="s">
        <v>45</v>
      </c>
      <c r="R123" s="226"/>
      <c r="S123" s="5"/>
      <c r="T123" s="172"/>
      <c r="U123" s="125"/>
      <c r="V123" s="5"/>
    </row>
    <row r="124" spans="1:22" s="6" customFormat="1" ht="17" customHeight="1" thickBot="1" x14ac:dyDescent="0.45">
      <c r="A124" s="36"/>
      <c r="B124" s="30"/>
      <c r="D124" s="141"/>
      <c r="E124" s="143" t="s">
        <v>241</v>
      </c>
      <c r="F124" s="142" t="s">
        <v>242</v>
      </c>
      <c r="H124" s="7" t="s">
        <v>20</v>
      </c>
      <c r="I124" s="102">
        <v>0</v>
      </c>
      <c r="J124" s="5"/>
      <c r="K124" s="280" t="str">
        <f t="shared" si="4"/>
        <v>(2</v>
      </c>
      <c r="L124" s="46"/>
      <c r="M124" s="5"/>
      <c r="N124" s="214">
        <v>77</v>
      </c>
      <c r="O124" s="244" t="s">
        <v>243</v>
      </c>
      <c r="P124" s="225">
        <v>0</v>
      </c>
      <c r="Q124" s="215" t="s">
        <v>45</v>
      </c>
      <c r="R124" s="226"/>
      <c r="S124" s="5"/>
      <c r="T124" s="172"/>
      <c r="U124" s="125"/>
      <c r="V124" s="5"/>
    </row>
    <row r="125" spans="1:22" s="6" customFormat="1" ht="17" customHeight="1" thickBot="1" x14ac:dyDescent="0.45">
      <c r="A125" s="36"/>
      <c r="B125" s="30"/>
      <c r="D125" s="141"/>
      <c r="E125" s="143" t="s">
        <v>244</v>
      </c>
      <c r="F125" s="142" t="s">
        <v>245</v>
      </c>
      <c r="H125" s="7" t="s">
        <v>20</v>
      </c>
      <c r="I125" s="102">
        <v>5</v>
      </c>
      <c r="J125" s="5"/>
      <c r="K125" s="280" t="str">
        <f t="shared" si="4"/>
        <v>(3</v>
      </c>
      <c r="L125" s="46"/>
      <c r="M125" s="5"/>
      <c r="N125" s="227">
        <v>78</v>
      </c>
      <c r="O125" s="246" t="s">
        <v>246</v>
      </c>
      <c r="P125" s="229">
        <v>0</v>
      </c>
      <c r="Q125" s="228" t="s">
        <v>45</v>
      </c>
      <c r="R125" s="230"/>
      <c r="S125" s="5"/>
      <c r="T125" s="172"/>
      <c r="U125" s="125"/>
      <c r="V125" s="5"/>
    </row>
    <row r="126" spans="1:22" s="6" customFormat="1" ht="18" customHeight="1" thickBot="1" x14ac:dyDescent="0.45">
      <c r="A126" s="36"/>
      <c r="B126" s="30"/>
      <c r="D126" s="141"/>
      <c r="E126" s="143" t="s">
        <v>247</v>
      </c>
      <c r="F126" s="142" t="s">
        <v>248</v>
      </c>
      <c r="H126" s="7" t="s">
        <v>20</v>
      </c>
      <c r="I126" s="102">
        <v>0</v>
      </c>
      <c r="J126" s="5"/>
      <c r="K126" s="280" t="str">
        <f t="shared" si="4"/>
        <v>(4</v>
      </c>
      <c r="L126" s="46"/>
      <c r="M126" s="5"/>
      <c r="N126" s="214">
        <v>79</v>
      </c>
      <c r="O126" s="244" t="s">
        <v>47</v>
      </c>
      <c r="P126" s="225">
        <v>0</v>
      </c>
      <c r="Q126" s="215" t="s">
        <v>47</v>
      </c>
      <c r="R126" s="226" t="s">
        <v>249</v>
      </c>
      <c r="S126" s="5"/>
      <c r="T126" s="172"/>
      <c r="U126" s="125"/>
      <c r="V126" s="5"/>
    </row>
    <row r="127" spans="1:22" s="6" customFormat="1" ht="18" customHeight="1" x14ac:dyDescent="0.35">
      <c r="A127" s="36"/>
      <c r="B127" s="101"/>
      <c r="D127" s="141"/>
      <c r="E127" s="143" t="s">
        <v>250</v>
      </c>
      <c r="F127" s="142" t="s">
        <v>251</v>
      </c>
      <c r="H127" s="7" t="s">
        <v>20</v>
      </c>
      <c r="I127" s="102">
        <v>5</v>
      </c>
      <c r="J127" s="5"/>
      <c r="K127" s="280" t="str">
        <f t="shared" si="4"/>
        <v>(5</v>
      </c>
      <c r="L127" s="46"/>
      <c r="M127" s="5"/>
      <c r="N127" s="231"/>
      <c r="O127" s="232"/>
      <c r="P127" s="233">
        <f>SUM(P48:P126)/5</f>
        <v>7</v>
      </c>
      <c r="Q127" s="234"/>
      <c r="R127" s="234"/>
      <c r="S127" s="5"/>
      <c r="T127" s="172"/>
      <c r="U127" s="125"/>
      <c r="V127" s="5"/>
    </row>
    <row r="128" spans="1:22" s="6" customFormat="1" ht="18" customHeight="1" x14ac:dyDescent="0.35">
      <c r="A128" s="36"/>
      <c r="B128" s="30"/>
      <c r="D128" s="141"/>
      <c r="E128" s="143" t="s">
        <v>252</v>
      </c>
      <c r="F128" s="142" t="s">
        <v>253</v>
      </c>
      <c r="H128" s="7" t="s">
        <v>20</v>
      </c>
      <c r="I128" s="102">
        <v>5</v>
      </c>
      <c r="J128" s="5"/>
      <c r="K128" s="280" t="str">
        <f t="shared" si="4"/>
        <v>(6</v>
      </c>
      <c r="L128" s="46"/>
      <c r="M128" s="5"/>
      <c r="N128" s="217"/>
      <c r="O128" s="217"/>
      <c r="P128" s="217"/>
      <c r="Q128" s="235"/>
      <c r="R128" s="235"/>
      <c r="S128" s="5"/>
      <c r="T128" s="172"/>
      <c r="U128" s="125"/>
      <c r="V128" s="5"/>
    </row>
    <row r="129" spans="1:22" s="6" customFormat="1" ht="18" customHeight="1" x14ac:dyDescent="0.35">
      <c r="A129" s="36"/>
      <c r="B129" s="30"/>
      <c r="C129" s="101"/>
      <c r="D129" s="140"/>
      <c r="E129" s="143" t="s">
        <v>254</v>
      </c>
      <c r="F129" s="142" t="s">
        <v>255</v>
      </c>
      <c r="H129" s="7" t="s">
        <v>20</v>
      </c>
      <c r="I129" s="102">
        <v>5</v>
      </c>
      <c r="J129" s="5"/>
      <c r="K129" s="280" t="str">
        <f t="shared" si="4"/>
        <v>(7</v>
      </c>
      <c r="L129" s="46"/>
      <c r="M129" s="5"/>
      <c r="N129" s="217"/>
      <c r="O129" s="217"/>
      <c r="P129" s="217"/>
      <c r="Q129" s="235"/>
      <c r="R129" s="235"/>
      <c r="S129" s="5"/>
      <c r="T129" s="172"/>
      <c r="U129" s="125"/>
      <c r="V129" s="5"/>
    </row>
    <row r="130" spans="1:22" s="6" customFormat="1" ht="18" customHeight="1" x14ac:dyDescent="0.35">
      <c r="A130" s="36"/>
      <c r="B130" s="30"/>
      <c r="E130" s="143" t="s">
        <v>256</v>
      </c>
      <c r="F130" s="142" t="s">
        <v>38</v>
      </c>
      <c r="H130" s="7" t="s">
        <v>20</v>
      </c>
      <c r="I130" s="102">
        <v>0</v>
      </c>
      <c r="J130" s="5"/>
      <c r="K130" s="280" t="str">
        <f t="shared" si="4"/>
        <v>(8</v>
      </c>
      <c r="L130" s="46"/>
      <c r="M130" s="5"/>
      <c r="N130" s="217"/>
      <c r="O130" s="217"/>
      <c r="P130" s="217"/>
      <c r="Q130" s="235"/>
      <c r="R130" s="235"/>
      <c r="S130" s="5"/>
      <c r="T130" s="172"/>
      <c r="U130" s="125"/>
      <c r="V130" s="5"/>
    </row>
    <row r="131" spans="1:22" s="6" customFormat="1" ht="18" customHeight="1" x14ac:dyDescent="0.35">
      <c r="A131" s="36"/>
      <c r="B131" s="30"/>
      <c r="E131" s="143" t="s">
        <v>257</v>
      </c>
      <c r="F131" s="142" t="s">
        <v>24</v>
      </c>
      <c r="H131" s="7" t="s">
        <v>20</v>
      </c>
      <c r="I131" s="102">
        <v>5</v>
      </c>
      <c r="J131" s="5"/>
      <c r="K131" s="280" t="str">
        <f t="shared" si="4"/>
        <v>(9</v>
      </c>
      <c r="L131" s="46"/>
      <c r="M131" s="5"/>
      <c r="N131" s="217"/>
      <c r="O131" s="217"/>
      <c r="P131" s="217"/>
      <c r="Q131" s="235"/>
      <c r="R131" s="235"/>
      <c r="S131" s="5"/>
      <c r="T131" s="172"/>
      <c r="U131" s="125"/>
      <c r="V131" s="5"/>
    </row>
    <row r="132" spans="1:22" s="6" customFormat="1" ht="18" customHeight="1" x14ac:dyDescent="0.35">
      <c r="A132" s="36"/>
      <c r="B132" s="30"/>
      <c r="E132" s="143" t="s">
        <v>258</v>
      </c>
      <c r="F132" s="142" t="s">
        <v>259</v>
      </c>
      <c r="H132" s="7" t="s">
        <v>20</v>
      </c>
      <c r="I132" s="102">
        <v>0</v>
      </c>
      <c r="J132" s="5"/>
      <c r="K132" s="280" t="str">
        <f t="shared" si="4"/>
        <v>(10</v>
      </c>
      <c r="L132" s="46"/>
      <c r="M132" s="5"/>
      <c r="N132" s="217"/>
      <c r="O132" s="217"/>
      <c r="P132" s="217"/>
      <c r="Q132" s="235"/>
      <c r="R132" s="235"/>
      <c r="S132" s="5"/>
      <c r="T132" s="172"/>
      <c r="U132" s="125"/>
      <c r="V132" s="5"/>
    </row>
    <row r="133" spans="1:22" s="6" customFormat="1" ht="18" customHeight="1" x14ac:dyDescent="0.35">
      <c r="A133" s="36"/>
      <c r="B133" s="30"/>
      <c r="E133" s="143" t="s">
        <v>260</v>
      </c>
      <c r="F133" s="142" t="s">
        <v>261</v>
      </c>
      <c r="H133" s="7" t="s">
        <v>20</v>
      </c>
      <c r="I133" s="102">
        <v>5</v>
      </c>
      <c r="J133" s="5"/>
      <c r="K133" s="280" t="str">
        <f t="shared" si="4"/>
        <v>(11</v>
      </c>
      <c r="L133" s="46"/>
      <c r="M133" s="5"/>
      <c r="N133" s="217"/>
      <c r="O133" s="217"/>
      <c r="P133" s="217"/>
      <c r="Q133" s="235"/>
      <c r="R133" s="235"/>
      <c r="S133" s="5"/>
      <c r="T133" s="172"/>
      <c r="U133" s="125"/>
      <c r="V133" s="5"/>
    </row>
    <row r="134" spans="1:22" s="6" customFormat="1" ht="18" customHeight="1" x14ac:dyDescent="0.35">
      <c r="A134" s="36"/>
      <c r="B134" s="30"/>
      <c r="E134" s="143" t="s">
        <v>262</v>
      </c>
      <c r="F134" s="142" t="s">
        <v>263</v>
      </c>
      <c r="H134" s="7" t="s">
        <v>20</v>
      </c>
      <c r="I134" s="102">
        <v>0</v>
      </c>
      <c r="J134" s="5"/>
      <c r="K134" s="280" t="str">
        <f t="shared" si="4"/>
        <v>(12</v>
      </c>
      <c r="L134" s="46"/>
      <c r="M134" s="5"/>
      <c r="N134" s="217"/>
      <c r="O134" s="217"/>
      <c r="P134" s="217"/>
      <c r="Q134" s="235"/>
      <c r="R134" s="235"/>
      <c r="S134" s="5"/>
      <c r="T134" s="172"/>
      <c r="U134" s="125"/>
      <c r="V134" s="5"/>
    </row>
    <row r="135" spans="1:22" s="6" customFormat="1" ht="18" customHeight="1" x14ac:dyDescent="0.35">
      <c r="A135" s="36"/>
      <c r="B135" s="23"/>
      <c r="E135" s="143" t="s">
        <v>264</v>
      </c>
      <c r="F135" s="142" t="s">
        <v>265</v>
      </c>
      <c r="H135" s="7" t="s">
        <v>20</v>
      </c>
      <c r="I135" s="102">
        <v>5</v>
      </c>
      <c r="J135" s="5"/>
      <c r="K135" s="280" t="str">
        <f t="shared" si="4"/>
        <v>(13</v>
      </c>
      <c r="L135" s="46"/>
      <c r="M135" s="5"/>
      <c r="N135" s="217"/>
      <c r="O135" s="217"/>
      <c r="P135" s="217"/>
      <c r="Q135" s="235"/>
      <c r="R135" s="235"/>
      <c r="S135" s="5"/>
      <c r="T135" s="172"/>
      <c r="U135" s="125"/>
      <c r="V135" s="5"/>
    </row>
    <row r="136" spans="1:22" s="6" customFormat="1" ht="18" customHeight="1" x14ac:dyDescent="0.35">
      <c r="A136" s="36"/>
      <c r="E136" s="143" t="s">
        <v>266</v>
      </c>
      <c r="F136" s="142" t="s">
        <v>267</v>
      </c>
      <c r="H136" s="7" t="s">
        <v>20</v>
      </c>
      <c r="I136" s="102">
        <v>5</v>
      </c>
      <c r="J136" s="5"/>
      <c r="K136" s="280" t="str">
        <f t="shared" si="4"/>
        <v>(14</v>
      </c>
      <c r="L136" s="46"/>
      <c r="M136" s="5"/>
      <c r="N136" s="217"/>
      <c r="O136" s="217"/>
      <c r="P136" s="217"/>
      <c r="Q136" s="235"/>
      <c r="R136" s="235"/>
      <c r="S136" s="5"/>
      <c r="T136" s="172"/>
      <c r="U136" s="125"/>
      <c r="V136" s="5"/>
    </row>
    <row r="137" spans="1:22" s="6" customFormat="1" ht="18" customHeight="1" x14ac:dyDescent="0.35">
      <c r="A137" s="36"/>
      <c r="E137" s="143" t="s">
        <v>268</v>
      </c>
      <c r="F137" s="142" t="s">
        <v>269</v>
      </c>
      <c r="H137" s="7" t="s">
        <v>20</v>
      </c>
      <c r="I137" s="102">
        <v>5</v>
      </c>
      <c r="J137" s="5"/>
      <c r="K137" s="280" t="str">
        <f t="shared" si="4"/>
        <v>(15</v>
      </c>
      <c r="L137" s="46"/>
      <c r="M137" s="5"/>
      <c r="N137" s="217"/>
      <c r="O137" s="217"/>
      <c r="P137" s="217"/>
      <c r="Q137" s="235"/>
      <c r="R137" s="235"/>
      <c r="S137" s="5"/>
      <c r="T137" s="172"/>
      <c r="U137" s="125"/>
      <c r="V137" s="5"/>
    </row>
    <row r="138" spans="1:22" s="6" customFormat="1" ht="17" customHeight="1" x14ac:dyDescent="0.35">
      <c r="A138" s="36"/>
      <c r="E138" s="143" t="s">
        <v>270</v>
      </c>
      <c r="F138" s="142" t="s">
        <v>271</v>
      </c>
      <c r="H138" s="7" t="s">
        <v>20</v>
      </c>
      <c r="I138" s="102">
        <v>0</v>
      </c>
      <c r="J138" s="5"/>
      <c r="K138" s="280" t="str">
        <f t="shared" si="4"/>
        <v>(16</v>
      </c>
      <c r="L138" s="46"/>
      <c r="M138" s="5"/>
      <c r="N138" s="217"/>
      <c r="O138" s="217"/>
      <c r="P138" s="217"/>
      <c r="Q138" s="235"/>
      <c r="R138" s="235"/>
      <c r="S138" s="5"/>
      <c r="T138" s="172"/>
      <c r="U138" s="125"/>
      <c r="V138" s="5"/>
    </row>
    <row r="139" spans="1:22" s="6" customFormat="1" ht="17" customHeight="1" thickBot="1" x14ac:dyDescent="0.4">
      <c r="A139" s="36"/>
      <c r="E139" s="143" t="s">
        <v>272</v>
      </c>
      <c r="F139" s="142" t="s">
        <v>273</v>
      </c>
      <c r="H139" s="7" t="s">
        <v>20</v>
      </c>
      <c r="I139" s="102">
        <v>5</v>
      </c>
      <c r="J139" s="5"/>
      <c r="K139" s="280" t="str">
        <f t="shared" si="4"/>
        <v>(17</v>
      </c>
      <c r="L139" s="46"/>
      <c r="M139" s="5"/>
      <c r="N139" s="217"/>
      <c r="O139" s="217"/>
      <c r="P139" s="217"/>
      <c r="Q139" s="235"/>
      <c r="R139" s="235"/>
      <c r="S139" s="5"/>
      <c r="T139" s="172"/>
      <c r="U139" s="125"/>
      <c r="V139" s="5"/>
    </row>
    <row r="140" spans="1:22" s="6" customFormat="1" ht="18" customHeight="1" thickBot="1" x14ac:dyDescent="0.4">
      <c r="A140" s="36"/>
      <c r="E140" s="143" t="s">
        <v>274</v>
      </c>
      <c r="F140" s="142" t="s">
        <v>275</v>
      </c>
      <c r="H140" s="7" t="s">
        <v>20</v>
      </c>
      <c r="I140" s="102">
        <v>0</v>
      </c>
      <c r="J140" s="5"/>
      <c r="K140" s="280" t="str">
        <f t="shared" si="4"/>
        <v>(18</v>
      </c>
      <c r="L140" s="46"/>
      <c r="M140" s="5"/>
      <c r="N140" s="217"/>
      <c r="O140" s="217"/>
      <c r="P140" s="217"/>
      <c r="Q140" s="235"/>
      <c r="R140" s="235"/>
      <c r="S140" s="5"/>
      <c r="T140" s="172"/>
      <c r="U140" s="125"/>
      <c r="V140" s="5"/>
    </row>
    <row r="141" spans="1:22" s="6" customFormat="1" ht="18" customHeight="1" x14ac:dyDescent="0.35">
      <c r="A141" s="36"/>
      <c r="D141" s="6" t="s">
        <v>276</v>
      </c>
      <c r="E141" s="140" t="s">
        <v>277</v>
      </c>
      <c r="F141" s="142"/>
      <c r="H141" s="100" t="s">
        <v>18</v>
      </c>
      <c r="I141" s="117">
        <f>SUM(I142:I149)/8</f>
        <v>2.5</v>
      </c>
      <c r="J141" s="5"/>
      <c r="K141" s="14"/>
      <c r="L141" s="14"/>
      <c r="M141" s="5"/>
      <c r="N141" s="217"/>
      <c r="O141" s="217"/>
      <c r="P141" s="217"/>
      <c r="Q141" s="235"/>
      <c r="R141" s="235"/>
      <c r="S141" s="5"/>
      <c r="T141" s="172"/>
      <c r="U141" s="125"/>
      <c r="V141" s="5"/>
    </row>
    <row r="142" spans="1:22" s="6" customFormat="1" ht="18" customHeight="1" x14ac:dyDescent="0.35">
      <c r="A142" s="36"/>
      <c r="E142" s="143" t="s">
        <v>238</v>
      </c>
      <c r="F142" s="142" t="s">
        <v>278</v>
      </c>
      <c r="H142" s="7" t="s">
        <v>20</v>
      </c>
      <c r="I142" s="102">
        <v>0</v>
      </c>
      <c r="J142" s="5"/>
      <c r="K142" s="280" t="str">
        <f t="shared" ref="K142:K149" si="5">E142</f>
        <v>(1</v>
      </c>
      <c r="L142" s="46"/>
      <c r="M142" s="5"/>
      <c r="N142" s="217"/>
      <c r="O142" s="217"/>
      <c r="P142" s="217"/>
      <c r="Q142" s="235"/>
      <c r="R142" s="235"/>
      <c r="S142" s="5"/>
      <c r="T142" s="172"/>
      <c r="U142" s="125"/>
      <c r="V142" s="5"/>
    </row>
    <row r="143" spans="1:22" s="6" customFormat="1" ht="18" customHeight="1" x14ac:dyDescent="0.35">
      <c r="A143" s="36"/>
      <c r="E143" s="143" t="s">
        <v>241</v>
      </c>
      <c r="F143" s="142" t="s">
        <v>279</v>
      </c>
      <c r="H143" s="7" t="s">
        <v>20</v>
      </c>
      <c r="I143" s="102">
        <v>5</v>
      </c>
      <c r="J143" s="5"/>
      <c r="K143" s="280" t="str">
        <f t="shared" si="5"/>
        <v>(2</v>
      </c>
      <c r="L143" s="46"/>
      <c r="M143" s="5"/>
      <c r="N143" s="217"/>
      <c r="O143" s="217"/>
      <c r="P143" s="217"/>
      <c r="Q143" s="235"/>
      <c r="R143" s="235"/>
      <c r="S143" s="5"/>
      <c r="T143" s="172"/>
      <c r="U143" s="125"/>
      <c r="V143" s="5"/>
    </row>
    <row r="144" spans="1:22" s="6" customFormat="1" ht="18" customHeight="1" x14ac:dyDescent="0.35">
      <c r="A144" s="36"/>
      <c r="E144" s="143" t="s">
        <v>244</v>
      </c>
      <c r="F144" s="142" t="s">
        <v>280</v>
      </c>
      <c r="H144" s="7" t="s">
        <v>20</v>
      </c>
      <c r="I144" s="102">
        <v>0</v>
      </c>
      <c r="J144" s="5"/>
      <c r="K144" s="280" t="str">
        <f t="shared" si="5"/>
        <v>(3</v>
      </c>
      <c r="L144" s="46"/>
      <c r="M144" s="5"/>
      <c r="N144" s="217"/>
      <c r="O144" s="217"/>
      <c r="P144" s="217"/>
      <c r="Q144" s="235"/>
      <c r="R144" s="235"/>
      <c r="S144" s="5"/>
      <c r="T144" s="172"/>
      <c r="U144" s="125"/>
      <c r="V144" s="5"/>
    </row>
    <row r="145" spans="1:22" s="6" customFormat="1" ht="18" customHeight="1" x14ac:dyDescent="0.35">
      <c r="A145" s="36"/>
      <c r="E145" s="143" t="s">
        <v>247</v>
      </c>
      <c r="F145" s="142" t="s">
        <v>281</v>
      </c>
      <c r="H145" s="7" t="s">
        <v>20</v>
      </c>
      <c r="I145" s="102">
        <v>5</v>
      </c>
      <c r="J145" s="5"/>
      <c r="K145" s="280" t="str">
        <f t="shared" si="5"/>
        <v>(4</v>
      </c>
      <c r="L145" s="46"/>
      <c r="M145" s="5"/>
      <c r="N145" s="217"/>
      <c r="O145" s="217"/>
      <c r="P145" s="217"/>
      <c r="Q145" s="235"/>
      <c r="R145" s="235"/>
      <c r="S145" s="5"/>
      <c r="T145" s="172"/>
      <c r="U145" s="125"/>
      <c r="V145" s="5"/>
    </row>
    <row r="146" spans="1:22" s="6" customFormat="1" ht="18" customHeight="1" x14ac:dyDescent="0.35">
      <c r="A146" s="36"/>
      <c r="E146" s="143" t="s">
        <v>250</v>
      </c>
      <c r="F146" s="142" t="s">
        <v>282</v>
      </c>
      <c r="H146" s="7" t="s">
        <v>20</v>
      </c>
      <c r="I146" s="102">
        <v>5</v>
      </c>
      <c r="J146" s="5"/>
      <c r="K146" s="280" t="str">
        <f t="shared" si="5"/>
        <v>(5</v>
      </c>
      <c r="L146" s="46"/>
      <c r="M146" s="5"/>
      <c r="N146" s="217"/>
      <c r="O146" s="217"/>
      <c r="P146" s="217"/>
      <c r="Q146" s="235"/>
      <c r="R146" s="235"/>
      <c r="S146" s="5"/>
      <c r="T146" s="172"/>
      <c r="U146" s="125"/>
      <c r="V146" s="5"/>
    </row>
    <row r="147" spans="1:22" s="6" customFormat="1" ht="17" customHeight="1" x14ac:dyDescent="0.35">
      <c r="A147" s="36"/>
      <c r="B147" s="23"/>
      <c r="E147" s="143" t="s">
        <v>252</v>
      </c>
      <c r="F147" s="142" t="s">
        <v>283</v>
      </c>
      <c r="H147" s="7" t="s">
        <v>20</v>
      </c>
      <c r="I147" s="102">
        <v>0</v>
      </c>
      <c r="J147" s="5"/>
      <c r="K147" s="280" t="str">
        <f t="shared" si="5"/>
        <v>(6</v>
      </c>
      <c r="L147" s="46"/>
      <c r="M147" s="5"/>
      <c r="N147" s="217"/>
      <c r="O147" s="217"/>
      <c r="P147" s="217"/>
      <c r="Q147" s="235"/>
      <c r="R147" s="235"/>
      <c r="S147" s="5"/>
      <c r="T147" s="172"/>
      <c r="U147" s="125"/>
      <c r="V147" s="5"/>
    </row>
    <row r="148" spans="1:22" s="6" customFormat="1" ht="17" customHeight="1" thickBot="1" x14ac:dyDescent="0.4">
      <c r="A148" s="36"/>
      <c r="B148" s="23"/>
      <c r="E148" s="143" t="s">
        <v>254</v>
      </c>
      <c r="F148" s="142" t="s">
        <v>284</v>
      </c>
      <c r="H148" s="7" t="s">
        <v>20</v>
      </c>
      <c r="I148" s="102">
        <v>5</v>
      </c>
      <c r="J148" s="5"/>
      <c r="K148" s="280" t="str">
        <f t="shared" si="5"/>
        <v>(7</v>
      </c>
      <c r="L148" s="46"/>
      <c r="M148" s="5"/>
      <c r="N148" s="217"/>
      <c r="O148" s="217"/>
      <c r="P148" s="217"/>
      <c r="Q148" s="235"/>
      <c r="R148" s="235"/>
      <c r="S148" s="5"/>
      <c r="T148" s="172"/>
      <c r="U148" s="125"/>
      <c r="V148" s="5"/>
    </row>
    <row r="149" spans="1:22" s="6" customFormat="1" ht="18" customHeight="1" thickBot="1" x14ac:dyDescent="0.4">
      <c r="A149" s="36"/>
      <c r="B149" s="23"/>
      <c r="E149" s="143" t="s">
        <v>256</v>
      </c>
      <c r="F149" s="142" t="s">
        <v>285</v>
      </c>
      <c r="H149" s="7" t="s">
        <v>20</v>
      </c>
      <c r="I149" s="102">
        <v>0</v>
      </c>
      <c r="J149" s="5"/>
      <c r="K149" s="280" t="str">
        <f t="shared" si="5"/>
        <v>(8</v>
      </c>
      <c r="L149" s="46"/>
      <c r="M149" s="5"/>
      <c r="N149" s="217"/>
      <c r="O149" s="217"/>
      <c r="P149" s="217"/>
      <c r="Q149" s="235"/>
      <c r="R149" s="235"/>
      <c r="S149" s="5"/>
      <c r="T149" s="172"/>
      <c r="U149" s="125"/>
      <c r="V149" s="5"/>
    </row>
    <row r="150" spans="1:22" s="6" customFormat="1" ht="17" customHeight="1" x14ac:dyDescent="0.35">
      <c r="A150" s="36"/>
      <c r="B150" s="30"/>
      <c r="D150" s="6" t="s">
        <v>286</v>
      </c>
      <c r="E150" s="150" t="s">
        <v>287</v>
      </c>
      <c r="F150" s="142"/>
      <c r="H150" s="100" t="s">
        <v>18</v>
      </c>
      <c r="I150" s="117">
        <f>SUM(I151:I152)/2</f>
        <v>2.5</v>
      </c>
      <c r="J150" s="5"/>
      <c r="K150" s="14"/>
      <c r="L150" s="14"/>
      <c r="M150" s="5"/>
      <c r="N150" s="217"/>
      <c r="O150" s="217"/>
      <c r="P150" s="217"/>
      <c r="Q150" s="235"/>
      <c r="R150" s="235"/>
      <c r="S150" s="5"/>
      <c r="T150" s="172"/>
      <c r="U150" s="125"/>
      <c r="V150" s="5"/>
    </row>
    <row r="151" spans="1:22" s="6" customFormat="1" ht="17" customHeight="1" thickBot="1" x14ac:dyDescent="0.4">
      <c r="A151" s="36"/>
      <c r="B151" s="30"/>
      <c r="E151" s="143" t="s">
        <v>238</v>
      </c>
      <c r="F151" s="142" t="s">
        <v>288</v>
      </c>
      <c r="H151" s="7" t="s">
        <v>20</v>
      </c>
      <c r="I151" s="102">
        <v>0</v>
      </c>
      <c r="J151" s="5"/>
      <c r="K151" s="280" t="str">
        <f>E151</f>
        <v>(1</v>
      </c>
      <c r="L151" s="46"/>
      <c r="M151" s="5"/>
      <c r="N151" s="217"/>
      <c r="O151" s="217"/>
      <c r="P151" s="217"/>
      <c r="Q151" s="235"/>
      <c r="R151" s="235"/>
      <c r="S151" s="5"/>
      <c r="T151" s="172"/>
      <c r="U151" s="125"/>
      <c r="V151" s="5"/>
    </row>
    <row r="152" spans="1:22" s="6" customFormat="1" ht="18" customHeight="1" thickBot="1" x14ac:dyDescent="0.4">
      <c r="A152" s="36"/>
      <c r="B152" s="30"/>
      <c r="E152" s="143" t="s">
        <v>241</v>
      </c>
      <c r="F152" s="142" t="s">
        <v>289</v>
      </c>
      <c r="H152" s="7" t="s">
        <v>20</v>
      </c>
      <c r="I152" s="102">
        <v>5</v>
      </c>
      <c r="J152" s="5"/>
      <c r="K152" s="280" t="str">
        <f>E152</f>
        <v>(2</v>
      </c>
      <c r="L152" s="46"/>
      <c r="M152" s="5"/>
      <c r="N152" s="217"/>
      <c r="O152" s="217"/>
      <c r="P152" s="217"/>
      <c r="Q152" s="235"/>
      <c r="R152" s="235"/>
      <c r="S152" s="5"/>
      <c r="T152" s="172"/>
      <c r="U152" s="125"/>
      <c r="V152" s="5"/>
    </row>
    <row r="153" spans="1:22" s="6" customFormat="1" ht="18" customHeight="1" x14ac:dyDescent="0.35">
      <c r="A153" s="36"/>
      <c r="B153" s="30"/>
      <c r="D153" s="6" t="s">
        <v>290</v>
      </c>
      <c r="E153" s="150" t="s">
        <v>291</v>
      </c>
      <c r="F153" s="142"/>
      <c r="H153" s="100" t="s">
        <v>18</v>
      </c>
      <c r="I153" s="117">
        <f>SUM(I154:I157)/4</f>
        <v>3.75</v>
      </c>
      <c r="J153" s="5"/>
      <c r="K153" s="14"/>
      <c r="L153" s="14"/>
      <c r="M153" s="5"/>
      <c r="N153" s="217"/>
      <c r="O153" s="217"/>
      <c r="P153" s="217"/>
      <c r="Q153" s="235"/>
      <c r="R153" s="235"/>
      <c r="S153" s="5"/>
      <c r="T153" s="172"/>
      <c r="U153" s="125"/>
      <c r="V153" s="5"/>
    </row>
    <row r="154" spans="1:22" s="6" customFormat="1" ht="18" customHeight="1" x14ac:dyDescent="0.35">
      <c r="A154" s="36"/>
      <c r="B154" s="30"/>
      <c r="E154" s="143" t="s">
        <v>238</v>
      </c>
      <c r="F154" s="142" t="s">
        <v>292</v>
      </c>
      <c r="H154" s="7" t="s">
        <v>20</v>
      </c>
      <c r="I154" s="102">
        <v>5</v>
      </c>
      <c r="J154" s="5"/>
      <c r="K154" s="280" t="str">
        <f>E154</f>
        <v>(1</v>
      </c>
      <c r="L154" s="46"/>
      <c r="M154" s="5"/>
      <c r="N154" s="217"/>
      <c r="O154" s="217"/>
      <c r="P154" s="217"/>
      <c r="Q154" s="235"/>
      <c r="R154" s="235"/>
      <c r="S154" s="5"/>
      <c r="T154" s="172"/>
      <c r="U154" s="125"/>
      <c r="V154" s="5"/>
    </row>
    <row r="155" spans="1:22" s="6" customFormat="1" ht="18" customHeight="1" x14ac:dyDescent="0.35">
      <c r="A155" s="36"/>
      <c r="B155" s="30"/>
      <c r="E155" s="143" t="s">
        <v>241</v>
      </c>
      <c r="F155" s="142" t="s">
        <v>293</v>
      </c>
      <c r="H155" s="7" t="s">
        <v>20</v>
      </c>
      <c r="I155" s="102">
        <v>5</v>
      </c>
      <c r="J155" s="5"/>
      <c r="K155" s="280" t="str">
        <f>E155</f>
        <v>(2</v>
      </c>
      <c r="L155" s="46"/>
      <c r="M155" s="5"/>
      <c r="N155" s="217"/>
      <c r="O155" s="217"/>
      <c r="P155" s="217"/>
      <c r="Q155" s="235"/>
      <c r="R155" s="235"/>
      <c r="S155" s="5"/>
      <c r="T155" s="172"/>
      <c r="U155" s="125"/>
      <c r="V155" s="5"/>
    </row>
    <row r="156" spans="1:22" s="6" customFormat="1" ht="17" customHeight="1" x14ac:dyDescent="0.35">
      <c r="A156" s="36"/>
      <c r="B156" s="30"/>
      <c r="E156" s="143" t="s">
        <v>244</v>
      </c>
      <c r="F156" s="142" t="s">
        <v>294</v>
      </c>
      <c r="H156" s="7" t="s">
        <v>20</v>
      </c>
      <c r="I156" s="102">
        <v>0</v>
      </c>
      <c r="J156" s="5"/>
      <c r="K156" s="280" t="str">
        <f>E156</f>
        <v>(3</v>
      </c>
      <c r="L156" s="46"/>
      <c r="M156" s="5"/>
      <c r="N156" s="217"/>
      <c r="O156" s="217"/>
      <c r="P156" s="217"/>
      <c r="Q156" s="235"/>
      <c r="R156" s="235"/>
      <c r="S156" s="5"/>
      <c r="T156" s="172"/>
      <c r="U156" s="125"/>
      <c r="V156" s="5"/>
    </row>
    <row r="157" spans="1:22" s="6" customFormat="1" ht="23.5" customHeight="1" thickBot="1" x14ac:dyDescent="0.4">
      <c r="A157" s="36"/>
      <c r="B157" s="30"/>
      <c r="E157" s="143" t="s">
        <v>247</v>
      </c>
      <c r="F157" s="142" t="s">
        <v>295</v>
      </c>
      <c r="H157" s="7" t="s">
        <v>20</v>
      </c>
      <c r="I157" s="102">
        <v>5</v>
      </c>
      <c r="J157" s="5"/>
      <c r="K157" s="280" t="str">
        <f>E157</f>
        <v>(4</v>
      </c>
      <c r="L157" s="46"/>
      <c r="M157" s="5"/>
      <c r="N157" s="217"/>
      <c r="O157" s="217"/>
      <c r="P157" s="217"/>
      <c r="Q157" s="235"/>
      <c r="R157" s="235"/>
      <c r="S157" s="5"/>
      <c r="T157" s="172"/>
      <c r="U157" s="125"/>
      <c r="V157" s="5"/>
    </row>
    <row r="158" spans="1:22" s="6" customFormat="1" ht="18" customHeight="1" thickBot="1" x14ac:dyDescent="0.35">
      <c r="A158" s="36"/>
      <c r="B158" s="30"/>
      <c r="E158" s="97"/>
      <c r="H158" s="7"/>
      <c r="I158" s="38"/>
      <c r="J158" s="5"/>
      <c r="K158" s="14"/>
      <c r="L158" s="14"/>
      <c r="M158" s="5"/>
      <c r="N158" s="217"/>
      <c r="O158" s="217"/>
      <c r="P158" s="217"/>
      <c r="Q158" s="235"/>
      <c r="R158" s="235"/>
      <c r="S158" s="5"/>
      <c r="T158" s="173"/>
      <c r="U158" s="125"/>
      <c r="V158" s="5"/>
    </row>
    <row r="159" spans="1:22" s="6" customFormat="1" ht="18" customHeight="1" x14ac:dyDescent="0.3">
      <c r="A159" s="36"/>
      <c r="B159" s="127">
        <v>3</v>
      </c>
      <c r="C159" s="108" t="s">
        <v>296</v>
      </c>
      <c r="G159" s="5"/>
      <c r="H159" s="72" t="s">
        <v>297</v>
      </c>
      <c r="I159" s="311">
        <f ca="1">(I160+I161+I162+IF(I163=1948,5,IF(I163&lt;1948,5,IF(I163&gt;YEAR(TODAY()),0,5-((I163-1948)/(YEAR(TODAY())-1948))*5))))/4</f>
        <v>2.4507952014874483</v>
      </c>
      <c r="J159" s="5"/>
      <c r="K159" s="14"/>
      <c r="L159" s="14"/>
      <c r="M159" s="5"/>
      <c r="N159" s="217"/>
      <c r="O159" s="217"/>
      <c r="P159" s="217"/>
      <c r="Q159" s="235"/>
      <c r="R159" s="235"/>
      <c r="S159" s="5"/>
      <c r="T159" s="172"/>
      <c r="U159" s="125"/>
      <c r="V159" s="5"/>
    </row>
    <row r="160" spans="1:22" s="6" customFormat="1" ht="18" customHeight="1" x14ac:dyDescent="0.3">
      <c r="A160" s="36"/>
      <c r="B160" s="30">
        <v>1</v>
      </c>
      <c r="C160" s="97" t="s">
        <v>298</v>
      </c>
      <c r="E160" s="281"/>
      <c r="F160" s="281"/>
      <c r="G160" s="28"/>
      <c r="H160" s="158" t="s">
        <v>299</v>
      </c>
      <c r="I160" s="157">
        <f>((IF(I57&lt;&gt;999,1,0)+IF(I58&lt;&gt;999,1,0)+IF(I59&lt;&gt;999,1,0)+IF(I60&lt;&gt;999,1,0)+IF(I61&lt;&gt;999,1,0)+IF(I62&lt;&gt;999,1,0)+IF(I63&lt;&gt;999,1,0)+IF(I64&lt;&gt;999,1,0)+IF(I65&lt;&gt;999,1,0))/9)*5</f>
        <v>5</v>
      </c>
      <c r="J160" s="5"/>
      <c r="K160" s="14"/>
      <c r="L160" s="14"/>
      <c r="M160" s="5"/>
      <c r="N160" s="217"/>
      <c r="O160" s="217"/>
      <c r="P160" s="217"/>
      <c r="Q160" s="235"/>
      <c r="R160" s="235"/>
      <c r="S160" s="5"/>
      <c r="T160" s="172"/>
      <c r="U160" s="125"/>
      <c r="V160" s="5"/>
    </row>
    <row r="161" spans="1:22" s="6" customFormat="1" ht="18" customHeight="1" x14ac:dyDescent="0.3">
      <c r="A161" s="36"/>
      <c r="B161" s="30">
        <v>2</v>
      </c>
      <c r="C161" s="97" t="s">
        <v>300</v>
      </c>
      <c r="E161" s="281"/>
      <c r="F161" s="281"/>
      <c r="G161" s="28"/>
      <c r="H161" s="158" t="s">
        <v>299</v>
      </c>
      <c r="I161" s="116">
        <f>(P127/79)*5</f>
        <v>0.44303797468354433</v>
      </c>
      <c r="J161" s="5"/>
      <c r="K161" s="14"/>
      <c r="L161" s="14"/>
      <c r="M161" s="5"/>
      <c r="N161" s="217"/>
      <c r="O161" s="217"/>
      <c r="P161" s="217"/>
      <c r="Q161" s="235"/>
      <c r="R161" s="235"/>
      <c r="S161" s="5"/>
      <c r="T161" s="172"/>
      <c r="U161" s="125"/>
      <c r="V161" s="5"/>
    </row>
    <row r="162" spans="1:22" s="6" customFormat="1" ht="17" customHeight="1" x14ac:dyDescent="0.3">
      <c r="A162" s="36"/>
      <c r="B162" s="30">
        <v>3</v>
      </c>
      <c r="C162" s="97" t="s">
        <v>301</v>
      </c>
      <c r="E162" s="281"/>
      <c r="F162" s="281"/>
      <c r="G162" s="28"/>
      <c r="H162" s="158" t="s">
        <v>299</v>
      </c>
      <c r="I162" s="116">
        <f>I76</f>
        <v>2.6934761645995819</v>
      </c>
      <c r="J162" s="5"/>
      <c r="K162" s="14"/>
      <c r="L162" s="14"/>
      <c r="M162" s="5"/>
      <c r="N162" s="217"/>
      <c r="O162" s="217"/>
      <c r="P162" s="217"/>
      <c r="Q162" s="235"/>
      <c r="R162" s="235"/>
      <c r="S162" s="5"/>
      <c r="T162" s="172"/>
      <c r="U162" s="125"/>
      <c r="V162" s="5"/>
    </row>
    <row r="163" spans="1:22" s="6" customFormat="1" ht="23.5" customHeight="1" thickBot="1" x14ac:dyDescent="0.35">
      <c r="A163" s="36"/>
      <c r="B163" s="30">
        <v>4</v>
      </c>
      <c r="C163" s="97" t="s">
        <v>302</v>
      </c>
      <c r="E163" s="281"/>
      <c r="F163" s="281"/>
      <c r="G163" s="28"/>
      <c r="H163" s="7" t="s">
        <v>33</v>
      </c>
      <c r="I163" s="102">
        <v>2000</v>
      </c>
      <c r="J163" s="5"/>
      <c r="K163" s="282">
        <f>B163</f>
        <v>4</v>
      </c>
      <c r="L163" s="46"/>
      <c r="M163" s="5"/>
      <c r="N163" s="217"/>
      <c r="O163" s="217"/>
      <c r="P163" s="217"/>
      <c r="Q163" s="235"/>
      <c r="R163" s="235"/>
      <c r="S163" s="5"/>
      <c r="T163" s="172"/>
      <c r="U163" s="125"/>
      <c r="V163" s="5"/>
    </row>
    <row r="164" spans="1:22" s="6" customFormat="1" ht="18" customHeight="1" thickBot="1" x14ac:dyDescent="0.35">
      <c r="A164" s="36"/>
      <c r="B164" s="23"/>
      <c r="C164" s="97"/>
      <c r="D164" s="23"/>
      <c r="G164" s="5"/>
      <c r="H164" s="18"/>
      <c r="I164" s="29"/>
      <c r="J164" s="5"/>
      <c r="K164" s="14"/>
      <c r="L164" s="14"/>
      <c r="M164" s="120"/>
      <c r="N164" s="217"/>
      <c r="O164" s="217"/>
      <c r="P164" s="217"/>
      <c r="Q164" s="235"/>
      <c r="R164" s="235"/>
      <c r="S164" s="5"/>
      <c r="T164" s="173"/>
      <c r="U164" s="125"/>
      <c r="V164" s="5"/>
    </row>
    <row r="165" spans="1:22" s="6" customFormat="1" ht="15.5" customHeight="1" x14ac:dyDescent="0.3">
      <c r="A165" s="36"/>
      <c r="B165" s="127">
        <v>4</v>
      </c>
      <c r="C165" s="108" t="s">
        <v>303</v>
      </c>
      <c r="D165" s="23"/>
      <c r="H165" s="19" t="s">
        <v>16</v>
      </c>
      <c r="I165" s="315">
        <f>(IF(I166=Normalize!G46,5,IF(I166&lt;Normalize!G46,5,IF(I166&gt;Normalize!I46,0,5-((I166-Normalize!G46)/(Normalize!I46-Normalize!G46))*5)))+IF(I168=Normalize!G48,5,IF(I168&lt;Normalize!G48,5,IF(I168&gt;Normalize!I48,0,5-((I168-Normalize!G48)/(Normalize!I48-Normalize!G48))*5)))+IF(I169=Normalize!G49,5,IF(I169&lt;Normalize!G49,5,IF(I169&gt;Normalize!I49,0,5-((I169-Normalize!G49)/(Normalize!I49-Normalize!G49))*5)))+I170)/4</f>
        <v>0</v>
      </c>
      <c r="K165" s="14"/>
      <c r="L165" s="14"/>
      <c r="M165" s="120"/>
      <c r="N165" s="217"/>
      <c r="O165" s="217"/>
      <c r="P165" s="217"/>
      <c r="Q165" s="235"/>
      <c r="R165" s="235"/>
      <c r="S165" s="5"/>
      <c r="T165" s="172"/>
      <c r="U165" s="125"/>
      <c r="V165" s="5"/>
    </row>
    <row r="166" spans="1:22" s="6" customFormat="1" ht="15.5" customHeight="1" x14ac:dyDescent="0.3">
      <c r="A166" s="36"/>
      <c r="B166" s="30">
        <v>1</v>
      </c>
      <c r="C166" s="97" t="s">
        <v>304</v>
      </c>
      <c r="D166" s="23"/>
      <c r="H166" s="7" t="s">
        <v>33</v>
      </c>
      <c r="I166" s="71">
        <v>5</v>
      </c>
      <c r="K166" s="282">
        <f>B166</f>
        <v>1</v>
      </c>
      <c r="L166" s="46"/>
      <c r="M166" s="120"/>
      <c r="N166" s="217"/>
      <c r="O166" s="217"/>
      <c r="P166" s="217"/>
      <c r="Q166" s="235"/>
      <c r="R166" s="235"/>
      <c r="S166" s="5"/>
      <c r="T166" s="172"/>
      <c r="U166" s="125"/>
      <c r="V166" s="5"/>
    </row>
    <row r="167" spans="1:22" s="6" customFormat="1" ht="15.5" customHeight="1" x14ac:dyDescent="0.3">
      <c r="A167" s="36"/>
      <c r="B167" s="30">
        <v>2</v>
      </c>
      <c r="C167" s="107" t="s">
        <v>305</v>
      </c>
      <c r="D167" s="23"/>
      <c r="I167" s="38"/>
      <c r="K167" s="14"/>
      <c r="L167" s="14"/>
      <c r="M167" s="120"/>
      <c r="N167" s="217"/>
      <c r="O167" s="217"/>
      <c r="P167" s="217"/>
      <c r="Q167" s="235"/>
      <c r="R167" s="235"/>
      <c r="S167" s="5"/>
      <c r="T167" s="172"/>
      <c r="U167" s="125"/>
      <c r="V167" s="5"/>
    </row>
    <row r="168" spans="1:22" s="6" customFormat="1" ht="18" customHeight="1" x14ac:dyDescent="0.3">
      <c r="A168" s="36"/>
      <c r="B168" s="30"/>
      <c r="C168" s="97">
        <v>2.1</v>
      </c>
      <c r="D168" s="23" t="s">
        <v>306</v>
      </c>
      <c r="H168" s="7" t="s">
        <v>33</v>
      </c>
      <c r="I168" s="71">
        <v>4</v>
      </c>
      <c r="J168" s="120"/>
      <c r="K168" s="265">
        <f>C168</f>
        <v>2.1</v>
      </c>
      <c r="L168" s="46"/>
      <c r="M168" s="120"/>
      <c r="N168" s="217"/>
      <c r="O168" s="217"/>
      <c r="P168" s="217"/>
      <c r="Q168" s="235"/>
      <c r="R168" s="235"/>
      <c r="S168" s="5"/>
      <c r="T168" s="172"/>
      <c r="U168" s="125"/>
      <c r="V168" s="5"/>
    </row>
    <row r="169" spans="1:22" s="6" customFormat="1" ht="17" customHeight="1" x14ac:dyDescent="0.3">
      <c r="A169" s="37"/>
      <c r="B169" s="30"/>
      <c r="C169" s="97">
        <v>2.2000000000000002</v>
      </c>
      <c r="D169" s="23" t="s">
        <v>307</v>
      </c>
      <c r="H169" s="7" t="s">
        <v>33</v>
      </c>
      <c r="I169" s="71">
        <v>9</v>
      </c>
      <c r="J169" s="120"/>
      <c r="K169" s="265">
        <f>C169</f>
        <v>2.2000000000000002</v>
      </c>
      <c r="L169" s="46"/>
      <c r="M169" s="5"/>
      <c r="N169" s="217"/>
      <c r="O169" s="217"/>
      <c r="P169" s="217"/>
      <c r="Q169" s="235"/>
      <c r="R169" s="235"/>
      <c r="S169" s="5"/>
      <c r="T169" s="172"/>
      <c r="U169" s="125"/>
      <c r="V169" s="5"/>
    </row>
    <row r="170" spans="1:22" s="6" customFormat="1" ht="23.5" customHeight="1" thickBot="1" x14ac:dyDescent="0.35">
      <c r="A170" s="37"/>
      <c r="B170" s="30">
        <v>3</v>
      </c>
      <c r="C170" s="97" t="s">
        <v>308</v>
      </c>
      <c r="D170" s="23"/>
      <c r="G170" s="5"/>
      <c r="H170" s="7" t="s">
        <v>20</v>
      </c>
      <c r="I170" s="102">
        <v>0</v>
      </c>
      <c r="J170" s="5"/>
      <c r="K170" s="282">
        <f>B170</f>
        <v>3</v>
      </c>
      <c r="L170" s="46"/>
      <c r="M170" s="5"/>
      <c r="N170" s="217"/>
      <c r="O170" s="217"/>
      <c r="P170" s="217"/>
      <c r="Q170" s="235"/>
      <c r="R170" s="235"/>
      <c r="S170" s="5"/>
      <c r="T170" s="172"/>
      <c r="U170" s="125"/>
      <c r="V170" s="5"/>
    </row>
    <row r="171" spans="1:22" s="6" customFormat="1" ht="15.5" customHeight="1" thickBot="1" x14ac:dyDescent="0.35">
      <c r="A171" s="37"/>
      <c r="B171" s="23"/>
      <c r="C171" s="97"/>
      <c r="D171" s="23"/>
      <c r="G171" s="5"/>
      <c r="H171" s="18"/>
      <c r="I171" s="29"/>
      <c r="J171" s="5"/>
      <c r="K171" s="14"/>
      <c r="L171" s="14"/>
      <c r="M171" s="5"/>
      <c r="N171" s="217"/>
      <c r="O171" s="217"/>
      <c r="P171" s="217"/>
      <c r="Q171" s="235"/>
      <c r="R171" s="235"/>
      <c r="S171" s="5"/>
      <c r="T171" s="173"/>
      <c r="U171" s="125"/>
      <c r="V171" s="5"/>
    </row>
    <row r="172" spans="1:22" s="6" customFormat="1" ht="15.5" customHeight="1" x14ac:dyDescent="0.3">
      <c r="A172" s="37"/>
      <c r="B172" s="127">
        <v>5</v>
      </c>
      <c r="C172" s="108" t="s">
        <v>309</v>
      </c>
      <c r="D172" s="23"/>
      <c r="G172" s="5"/>
      <c r="H172" s="19" t="s">
        <v>16</v>
      </c>
      <c r="I172" s="311">
        <f>(I173+I174+I175+IF(I176=Normalize!G52,5,IF(I176&lt;Normalize!G52,5,IF(I176&gt;Normalize!I52,0,((I176-Normalize!G52)/(Normalize!I52-Normalize!G52))*5)))+I177)/5</f>
        <v>3.6</v>
      </c>
      <c r="J172" s="5"/>
      <c r="K172" s="14"/>
      <c r="L172" s="14"/>
      <c r="M172" s="5"/>
      <c r="N172" s="217"/>
      <c r="O172" s="217"/>
      <c r="P172" s="217"/>
      <c r="Q172" s="235"/>
      <c r="R172" s="235"/>
      <c r="S172" s="5"/>
      <c r="T172" s="172"/>
      <c r="U172" s="125"/>
      <c r="V172" s="5"/>
    </row>
    <row r="173" spans="1:22" s="6" customFormat="1" ht="15.5" customHeight="1" x14ac:dyDescent="0.3">
      <c r="A173" s="37"/>
      <c r="B173" s="30">
        <v>1</v>
      </c>
      <c r="C173" s="97" t="s">
        <v>310</v>
      </c>
      <c r="D173" s="23"/>
      <c r="H173" s="68" t="s">
        <v>311</v>
      </c>
      <c r="I173" s="71">
        <v>4</v>
      </c>
      <c r="J173" s="5"/>
      <c r="K173" s="282">
        <f>B173</f>
        <v>1</v>
      </c>
      <c r="L173" s="46"/>
      <c r="M173" s="5"/>
      <c r="N173" s="217"/>
      <c r="O173" s="217"/>
      <c r="P173" s="217"/>
      <c r="Q173" s="235"/>
      <c r="R173" s="235"/>
      <c r="S173" s="5"/>
      <c r="T173" s="172"/>
      <c r="U173" s="125"/>
      <c r="V173" s="5"/>
    </row>
    <row r="174" spans="1:22" s="6" customFormat="1" ht="15.5" customHeight="1" x14ac:dyDescent="0.3">
      <c r="A174" s="37"/>
      <c r="B174" s="30">
        <v>2</v>
      </c>
      <c r="C174" s="98" t="s">
        <v>312</v>
      </c>
      <c r="D174" s="23"/>
      <c r="H174" s="68" t="s">
        <v>311</v>
      </c>
      <c r="I174" s="71">
        <v>4</v>
      </c>
      <c r="J174" s="5"/>
      <c r="K174" s="282">
        <f>B174</f>
        <v>2</v>
      </c>
      <c r="L174" s="46"/>
      <c r="M174" s="5"/>
      <c r="N174" s="217"/>
      <c r="O174" s="217"/>
      <c r="P174" s="217"/>
      <c r="Q174" s="235"/>
      <c r="R174" s="235"/>
      <c r="S174" s="5"/>
      <c r="T174" s="172"/>
      <c r="U174" s="125"/>
      <c r="V174" s="5"/>
    </row>
    <row r="175" spans="1:22" s="6" customFormat="1" ht="18" customHeight="1" x14ac:dyDescent="0.3">
      <c r="A175" s="37"/>
      <c r="B175" s="30">
        <v>3</v>
      </c>
      <c r="C175" s="98" t="s">
        <v>313</v>
      </c>
      <c r="D175" s="23"/>
      <c r="H175" s="7" t="s">
        <v>20</v>
      </c>
      <c r="I175" s="11">
        <v>0</v>
      </c>
      <c r="J175" s="5"/>
      <c r="K175" s="282">
        <f>B175</f>
        <v>3</v>
      </c>
      <c r="L175" s="46"/>
      <c r="M175" s="5"/>
      <c r="N175" s="217"/>
      <c r="O175" s="217"/>
      <c r="P175" s="217"/>
      <c r="Q175" s="235"/>
      <c r="R175" s="235"/>
      <c r="S175" s="5"/>
      <c r="T175" s="172"/>
      <c r="U175" s="125"/>
      <c r="V175" s="5"/>
    </row>
    <row r="176" spans="1:22" s="6" customFormat="1" ht="14.5" customHeight="1" x14ac:dyDescent="0.3">
      <c r="A176" s="37"/>
      <c r="B176" s="30">
        <v>4</v>
      </c>
      <c r="C176" s="98" t="s">
        <v>314</v>
      </c>
      <c r="D176" s="23"/>
      <c r="H176" s="7" t="s">
        <v>29</v>
      </c>
      <c r="I176" s="188">
        <v>15</v>
      </c>
      <c r="J176" s="5"/>
      <c r="K176" s="282">
        <f>B176</f>
        <v>4</v>
      </c>
      <c r="L176" s="46"/>
      <c r="M176" s="5"/>
      <c r="N176" s="217"/>
      <c r="O176" s="217"/>
      <c r="P176" s="217"/>
      <c r="Q176" s="236"/>
      <c r="R176" s="236"/>
      <c r="S176" s="5"/>
      <c r="T176" s="172"/>
      <c r="U176" s="125"/>
      <c r="V176" s="5"/>
    </row>
    <row r="177" spans="1:22" s="6" customFormat="1" ht="23.5" customHeight="1" thickBot="1" x14ac:dyDescent="0.35">
      <c r="A177" s="37"/>
      <c r="B177" s="30">
        <v>5</v>
      </c>
      <c r="C177" s="97" t="s">
        <v>315</v>
      </c>
      <c r="D177" s="23"/>
      <c r="H177" s="7" t="s">
        <v>20</v>
      </c>
      <c r="I177" s="80">
        <v>5</v>
      </c>
      <c r="J177" s="5"/>
      <c r="K177" s="282">
        <f>B177</f>
        <v>5</v>
      </c>
      <c r="L177" s="46"/>
      <c r="M177" s="5"/>
      <c r="N177" s="217"/>
      <c r="O177" s="217"/>
      <c r="P177" s="217"/>
      <c r="Q177" s="236"/>
      <c r="R177" s="236"/>
      <c r="S177" s="5"/>
      <c r="T177" s="172"/>
      <c r="U177" s="125"/>
      <c r="V177" s="5"/>
    </row>
    <row r="178" spans="1:22" s="6" customFormat="1" ht="17.5" customHeight="1" thickBot="1" x14ac:dyDescent="0.35">
      <c r="A178" s="37"/>
      <c r="D178" s="79"/>
      <c r="E178" s="38"/>
      <c r="F178" s="38"/>
      <c r="G178" s="10"/>
      <c r="J178" s="5"/>
      <c r="K178" s="14"/>
      <c r="L178" s="14"/>
      <c r="M178" s="5"/>
      <c r="N178" s="217"/>
      <c r="O178" s="217"/>
      <c r="P178" s="217"/>
      <c r="Q178" s="236"/>
      <c r="R178" s="236"/>
      <c r="S178" s="5"/>
      <c r="T178" s="173"/>
      <c r="U178" s="125"/>
      <c r="V178" s="5"/>
    </row>
    <row r="179" spans="1:22" ht="14.5" customHeight="1" x14ac:dyDescent="0.3">
      <c r="A179" s="37"/>
      <c r="B179" s="127">
        <v>6</v>
      </c>
      <c r="C179" s="108" t="s">
        <v>316</v>
      </c>
      <c r="D179" s="23"/>
      <c r="E179" s="6"/>
      <c r="F179" s="6"/>
      <c r="G179" s="5"/>
      <c r="H179" s="19" t="s">
        <v>16</v>
      </c>
      <c r="I179" s="275">
        <f>(I180*4+I186*8)/12</f>
        <v>3.75</v>
      </c>
      <c r="J179" s="5"/>
      <c r="L179" s="14"/>
      <c r="M179" s="5"/>
      <c r="N179" s="217"/>
      <c r="O179" s="217"/>
      <c r="P179" s="217"/>
      <c r="Q179" s="236"/>
      <c r="R179" s="236"/>
      <c r="S179" s="5"/>
      <c r="T179" s="172"/>
      <c r="U179" s="125"/>
      <c r="V179" s="5"/>
    </row>
    <row r="180" spans="1:22" s="6" customFormat="1" ht="14.5" customHeight="1" x14ac:dyDescent="0.3">
      <c r="A180" s="37"/>
      <c r="B180" s="283">
        <v>1</v>
      </c>
      <c r="C180" s="284" t="s">
        <v>317</v>
      </c>
      <c r="D180" s="23"/>
      <c r="G180" s="5"/>
      <c r="H180" s="19" t="s">
        <v>318</v>
      </c>
      <c r="I180" s="285">
        <f>SUM(I181:I185)/4</f>
        <v>1.25</v>
      </c>
      <c r="J180" s="5"/>
      <c r="K180" s="14"/>
      <c r="L180" s="14"/>
      <c r="M180" s="5"/>
      <c r="N180" s="217"/>
      <c r="O180" s="217"/>
      <c r="P180" s="217"/>
      <c r="Q180" s="236"/>
      <c r="R180" s="236"/>
      <c r="S180" s="5"/>
      <c r="T180" s="172"/>
      <c r="U180" s="125"/>
      <c r="V180" s="5"/>
    </row>
    <row r="181" spans="1:22" s="6" customFormat="1" ht="14.5" customHeight="1" x14ac:dyDescent="0.3">
      <c r="C181" s="97">
        <v>1.1000000000000001</v>
      </c>
      <c r="D181" s="97" t="s">
        <v>319</v>
      </c>
      <c r="H181" s="7" t="s">
        <v>20</v>
      </c>
      <c r="I181" s="11">
        <v>5</v>
      </c>
      <c r="J181" s="5"/>
      <c r="K181" s="265">
        <f>C181</f>
        <v>1.1000000000000001</v>
      </c>
      <c r="L181" s="46"/>
      <c r="M181" s="5"/>
      <c r="N181" s="217"/>
      <c r="O181" s="217"/>
      <c r="P181" s="217"/>
      <c r="Q181" s="236"/>
      <c r="R181" s="236"/>
      <c r="S181" s="5"/>
      <c r="T181" s="172"/>
      <c r="U181" s="125"/>
      <c r="V181" s="5"/>
    </row>
    <row r="182" spans="1:22" s="6" customFormat="1" ht="14.5" customHeight="1" x14ac:dyDescent="0.3">
      <c r="C182" s="97">
        <v>1.2</v>
      </c>
      <c r="D182" s="97" t="s">
        <v>320</v>
      </c>
      <c r="E182" s="23"/>
      <c r="F182" s="23"/>
      <c r="G182" s="23"/>
      <c r="H182" s="7" t="s">
        <v>20</v>
      </c>
      <c r="I182" s="11">
        <v>0</v>
      </c>
      <c r="J182" s="5"/>
      <c r="K182" s="265">
        <f>C182</f>
        <v>1.2</v>
      </c>
      <c r="L182" s="46"/>
      <c r="M182" s="5"/>
      <c r="N182" s="217"/>
      <c r="O182" s="217"/>
      <c r="P182" s="217"/>
      <c r="Q182" s="236"/>
      <c r="R182" s="236"/>
      <c r="S182" s="5"/>
      <c r="T182" s="172"/>
      <c r="U182" s="125"/>
      <c r="V182" s="5"/>
    </row>
    <row r="183" spans="1:22" s="6" customFormat="1" ht="14.5" customHeight="1" x14ac:dyDescent="0.3">
      <c r="C183" s="97">
        <v>1.3</v>
      </c>
      <c r="D183" s="97" t="s">
        <v>321</v>
      </c>
      <c r="H183" s="7" t="s">
        <v>20</v>
      </c>
      <c r="I183" s="11">
        <v>0</v>
      </c>
      <c r="J183" s="5"/>
      <c r="K183" s="265">
        <f>C183</f>
        <v>1.3</v>
      </c>
      <c r="L183" s="46"/>
      <c r="M183" s="5"/>
      <c r="N183" s="217"/>
      <c r="O183" s="217"/>
      <c r="P183" s="217"/>
      <c r="Q183" s="236"/>
      <c r="R183" s="236"/>
      <c r="S183" s="5"/>
      <c r="T183" s="172"/>
      <c r="U183" s="125"/>
      <c r="V183" s="5"/>
    </row>
    <row r="184" spans="1:22" s="6" customFormat="1" ht="23.5" customHeight="1" thickBot="1" x14ac:dyDescent="0.35">
      <c r="C184" s="97">
        <v>1.4</v>
      </c>
      <c r="D184" s="97" t="s">
        <v>322</v>
      </c>
      <c r="H184" s="7" t="s">
        <v>20</v>
      </c>
      <c r="I184" s="11">
        <v>0</v>
      </c>
      <c r="J184" s="5"/>
      <c r="K184" s="265">
        <f>C184</f>
        <v>1.4</v>
      </c>
      <c r="L184" s="46"/>
      <c r="M184" s="5"/>
      <c r="N184" s="217"/>
      <c r="O184" s="217"/>
      <c r="P184" s="217"/>
      <c r="Q184" s="236"/>
      <c r="R184" s="236"/>
      <c r="S184" s="5"/>
      <c r="T184" s="172"/>
      <c r="U184" s="125"/>
      <c r="V184" s="5"/>
    </row>
    <row r="185" spans="1:22" s="6" customFormat="1" ht="18" customHeight="1" thickBot="1" x14ac:dyDescent="0.35">
      <c r="B185" s="20"/>
      <c r="D185" s="286"/>
      <c r="J185" s="5"/>
      <c r="K185" s="14"/>
      <c r="L185" s="14"/>
      <c r="M185" s="5"/>
      <c r="N185" s="217"/>
      <c r="O185" s="217"/>
      <c r="P185" s="217"/>
      <c r="Q185" s="236"/>
      <c r="R185" s="236"/>
      <c r="S185" s="5"/>
      <c r="T185" s="173"/>
      <c r="U185" s="125"/>
      <c r="V185" s="5"/>
    </row>
    <row r="186" spans="1:22" s="6" customFormat="1" ht="14.5" customHeight="1" x14ac:dyDescent="0.3">
      <c r="B186" s="283">
        <v>2</v>
      </c>
      <c r="C186" s="284" t="s">
        <v>323</v>
      </c>
      <c r="D186" s="23"/>
      <c r="G186" s="5"/>
      <c r="H186" s="19" t="s">
        <v>318</v>
      </c>
      <c r="I186" s="285">
        <f>SUM(I187:I196)/8</f>
        <v>5</v>
      </c>
      <c r="J186" s="5"/>
      <c r="K186" s="14"/>
      <c r="L186" s="14"/>
      <c r="M186" s="5"/>
      <c r="N186" s="217"/>
      <c r="O186" s="217"/>
      <c r="P186" s="217"/>
      <c r="Q186" s="236"/>
      <c r="R186" s="236"/>
      <c r="S186" s="5"/>
      <c r="T186" s="172"/>
      <c r="U186" s="125"/>
      <c r="V186" s="5"/>
    </row>
    <row r="187" spans="1:22" s="6" customFormat="1" ht="14.5" customHeight="1" x14ac:dyDescent="0.3">
      <c r="A187" s="37"/>
      <c r="C187" s="97">
        <v>2.1</v>
      </c>
      <c r="D187" s="97" t="s">
        <v>324</v>
      </c>
      <c r="H187" s="7" t="s">
        <v>20</v>
      </c>
      <c r="I187" s="11">
        <v>5</v>
      </c>
      <c r="J187" s="5"/>
      <c r="K187" s="265">
        <f>C187</f>
        <v>2.1</v>
      </c>
      <c r="L187" s="46"/>
      <c r="M187" s="5"/>
      <c r="N187" s="217"/>
      <c r="O187" s="217"/>
      <c r="P187" s="217"/>
      <c r="Q187" s="236"/>
      <c r="R187" s="236"/>
      <c r="S187" s="5"/>
      <c r="T187" s="172"/>
      <c r="U187" s="125"/>
      <c r="V187" s="5"/>
    </row>
    <row r="188" spans="1:22" s="6" customFormat="1" ht="14.5" customHeight="1" x14ac:dyDescent="0.3">
      <c r="C188" s="97">
        <v>2.2000000000000002</v>
      </c>
      <c r="D188" s="97" t="s">
        <v>325</v>
      </c>
      <c r="E188" s="38"/>
      <c r="F188" s="38"/>
      <c r="G188" s="38"/>
      <c r="H188" s="7" t="s">
        <v>20</v>
      </c>
      <c r="I188" s="11">
        <v>5</v>
      </c>
      <c r="J188" s="5"/>
      <c r="K188" s="265">
        <f>C188</f>
        <v>2.2000000000000002</v>
      </c>
      <c r="L188" s="46"/>
      <c r="M188" s="5"/>
      <c r="N188" s="217"/>
      <c r="O188" s="217"/>
      <c r="P188" s="217"/>
      <c r="Q188" s="236"/>
      <c r="R188" s="236"/>
      <c r="S188" s="5"/>
      <c r="T188" s="172"/>
      <c r="U188" s="125"/>
      <c r="V188" s="5"/>
    </row>
    <row r="189" spans="1:22" s="6" customFormat="1" ht="18" customHeight="1" x14ac:dyDescent="0.3">
      <c r="C189" s="97">
        <v>2.2999999999999998</v>
      </c>
      <c r="D189" s="97" t="s">
        <v>326</v>
      </c>
      <c r="E189" s="38"/>
      <c r="F189" s="38"/>
      <c r="G189" s="38"/>
      <c r="H189" s="7" t="s">
        <v>20</v>
      </c>
      <c r="I189" s="11">
        <v>5</v>
      </c>
      <c r="J189" s="5"/>
      <c r="K189" s="265">
        <f>C189</f>
        <v>2.2999999999999998</v>
      </c>
      <c r="L189" s="46"/>
      <c r="M189" s="5"/>
      <c r="N189" s="217"/>
      <c r="O189" s="217"/>
      <c r="P189" s="217"/>
      <c r="Q189" s="236"/>
      <c r="R189" s="236"/>
      <c r="S189" s="5"/>
      <c r="T189" s="172"/>
      <c r="U189" s="125"/>
      <c r="V189" s="5"/>
    </row>
    <row r="190" spans="1:22" s="6" customFormat="1" ht="14.5" customHeight="1" x14ac:dyDescent="0.3">
      <c r="C190" s="97">
        <v>2.4</v>
      </c>
      <c r="D190" s="97" t="s">
        <v>327</v>
      </c>
      <c r="H190" s="7" t="s">
        <v>20</v>
      </c>
      <c r="I190" s="11">
        <v>5</v>
      </c>
      <c r="J190" s="5"/>
      <c r="K190" s="265">
        <f>C190</f>
        <v>2.4</v>
      </c>
      <c r="L190" s="46"/>
      <c r="M190" s="5"/>
      <c r="N190" s="217"/>
      <c r="O190" s="217"/>
      <c r="P190" s="217"/>
      <c r="Q190" s="236"/>
      <c r="R190" s="236"/>
      <c r="S190" s="5"/>
      <c r="T190" s="172"/>
      <c r="U190" s="125"/>
      <c r="V190" s="5"/>
    </row>
    <row r="191" spans="1:22" s="6" customFormat="1" ht="14.5" customHeight="1" x14ac:dyDescent="0.3">
      <c r="A191" s="37"/>
      <c r="C191" s="97">
        <v>2.5</v>
      </c>
      <c r="D191" s="107" t="s">
        <v>328</v>
      </c>
      <c r="H191" s="7"/>
      <c r="I191" s="69"/>
      <c r="J191" s="5"/>
      <c r="K191" s="3"/>
      <c r="L191" s="3"/>
      <c r="M191" s="5"/>
      <c r="N191" s="217"/>
      <c r="O191" s="217"/>
      <c r="P191" s="217"/>
      <c r="Q191" s="236"/>
      <c r="R191" s="236"/>
      <c r="S191" s="5"/>
      <c r="T191" s="172"/>
      <c r="U191" s="125"/>
      <c r="V191" s="5"/>
    </row>
    <row r="192" spans="1:22" s="6" customFormat="1" ht="14.5" customHeight="1" x14ac:dyDescent="0.3">
      <c r="A192" s="37"/>
      <c r="B192" s="23"/>
      <c r="D192" s="6" t="s">
        <v>329</v>
      </c>
      <c r="E192" s="23" t="s">
        <v>330</v>
      </c>
      <c r="F192" s="23"/>
      <c r="G192" s="23"/>
      <c r="H192" s="7" t="s">
        <v>20</v>
      </c>
      <c r="I192" s="11">
        <v>5</v>
      </c>
      <c r="J192" s="5"/>
      <c r="K192" s="265" t="str">
        <f>D192</f>
        <v>2.5.1</v>
      </c>
      <c r="L192" s="46"/>
      <c r="M192" s="5"/>
      <c r="N192" s="217"/>
      <c r="O192" s="217"/>
      <c r="P192" s="217"/>
      <c r="Q192" s="236"/>
      <c r="R192" s="236"/>
      <c r="S192" s="5"/>
      <c r="T192" s="172"/>
      <c r="U192" s="125"/>
      <c r="V192" s="5"/>
    </row>
    <row r="193" spans="1:22" s="6" customFormat="1" ht="14.5" customHeight="1" x14ac:dyDescent="0.3">
      <c r="A193" s="37"/>
      <c r="B193" s="23"/>
      <c r="D193" s="6" t="s">
        <v>331</v>
      </c>
      <c r="E193" s="23" t="s">
        <v>332</v>
      </c>
      <c r="F193" s="23"/>
      <c r="G193" s="23"/>
      <c r="H193" s="7" t="s">
        <v>20</v>
      </c>
      <c r="I193" s="11">
        <v>5</v>
      </c>
      <c r="J193" s="5"/>
      <c r="K193" s="265" t="str">
        <f>D193</f>
        <v>2.5.2</v>
      </c>
      <c r="L193" s="46"/>
      <c r="M193" s="5"/>
      <c r="N193" s="217"/>
      <c r="O193" s="217"/>
      <c r="P193" s="217"/>
      <c r="Q193" s="236"/>
      <c r="R193" s="236"/>
      <c r="S193" s="5"/>
      <c r="T193" s="172"/>
      <c r="U193" s="125"/>
      <c r="V193" s="5"/>
    </row>
    <row r="194" spans="1:22" s="6" customFormat="1" ht="14.5" customHeight="1" x14ac:dyDescent="0.3">
      <c r="A194" s="37"/>
      <c r="B194" s="67"/>
      <c r="D194" s="6" t="s">
        <v>333</v>
      </c>
      <c r="E194" s="23" t="s">
        <v>334</v>
      </c>
      <c r="F194" s="23"/>
      <c r="G194" s="23"/>
      <c r="H194" s="7" t="s">
        <v>20</v>
      </c>
      <c r="I194" s="11">
        <v>5</v>
      </c>
      <c r="J194" s="5"/>
      <c r="K194" s="265" t="str">
        <f>D194</f>
        <v>2.5.3</v>
      </c>
      <c r="L194" s="46"/>
      <c r="M194" s="5"/>
      <c r="N194" s="217"/>
      <c r="O194" s="217"/>
      <c r="P194" s="217"/>
      <c r="Q194" s="236"/>
      <c r="R194" s="236"/>
      <c r="S194" s="5"/>
      <c r="T194" s="172"/>
      <c r="U194" s="125"/>
      <c r="V194" s="5"/>
    </row>
    <row r="195" spans="1:22" s="6" customFormat="1" ht="23.5" customHeight="1" thickBot="1" x14ac:dyDescent="0.35">
      <c r="A195" s="37"/>
      <c r="B195" s="67"/>
      <c r="D195" s="6" t="s">
        <v>335</v>
      </c>
      <c r="E195" s="23" t="s">
        <v>336</v>
      </c>
      <c r="F195" s="23"/>
      <c r="G195" s="23"/>
      <c r="H195" s="7" t="s">
        <v>20</v>
      </c>
      <c r="I195" s="11">
        <v>5</v>
      </c>
      <c r="J195" s="5"/>
      <c r="K195" s="265" t="str">
        <f>D195</f>
        <v>2.5.4</v>
      </c>
      <c r="L195" s="46"/>
      <c r="M195" s="5"/>
      <c r="N195" s="217"/>
      <c r="O195" s="217"/>
      <c r="P195" s="217"/>
      <c r="Q195" s="236"/>
      <c r="R195" s="236"/>
      <c r="S195" s="5"/>
      <c r="T195" s="172"/>
      <c r="U195" s="125"/>
      <c r="V195" s="5"/>
    </row>
    <row r="196" spans="1:22" s="6" customFormat="1" ht="14.5" customHeight="1" thickBot="1" x14ac:dyDescent="0.35">
      <c r="A196" s="37"/>
      <c r="B196" s="67"/>
      <c r="C196" s="287"/>
      <c r="D196" s="30"/>
      <c r="E196" s="38"/>
      <c r="F196" s="38"/>
      <c r="G196" s="10"/>
      <c r="H196" s="28"/>
      <c r="I196" s="31"/>
      <c r="J196" s="5"/>
      <c r="K196" s="14"/>
      <c r="L196" s="14"/>
      <c r="M196" s="5"/>
      <c r="N196" s="217"/>
      <c r="O196" s="217"/>
      <c r="P196" s="217"/>
      <c r="Q196" s="236"/>
      <c r="R196" s="236"/>
      <c r="S196" s="5"/>
      <c r="T196" s="173"/>
      <c r="U196" s="125"/>
      <c r="V196" s="5"/>
    </row>
    <row r="197" spans="1:22" ht="14.5" customHeight="1" x14ac:dyDescent="0.3">
      <c r="B197" s="127">
        <v>7</v>
      </c>
      <c r="C197" s="189" t="s">
        <v>337</v>
      </c>
      <c r="D197" s="23"/>
      <c r="E197" s="6"/>
      <c r="F197" s="6"/>
      <c r="G197" s="6"/>
      <c r="H197" s="19" t="s">
        <v>16</v>
      </c>
      <c r="I197" s="316">
        <f>(I198*3+I203*5+I210*5)/13</f>
        <v>3.9121419020145018</v>
      </c>
      <c r="J197" s="5"/>
      <c r="K197" s="14"/>
      <c r="L197" s="310"/>
      <c r="M197" s="5"/>
      <c r="N197" s="217"/>
      <c r="O197" s="217"/>
    </row>
    <row r="198" spans="1:22" s="6" customFormat="1" ht="14.5" customHeight="1" x14ac:dyDescent="0.3">
      <c r="A198" s="37"/>
      <c r="B198" s="283">
        <v>1</v>
      </c>
      <c r="C198" s="288" t="s">
        <v>338</v>
      </c>
      <c r="D198" s="23"/>
      <c r="H198" s="289" t="s">
        <v>18</v>
      </c>
      <c r="I198" s="317">
        <f>(IF(I199=Normalize!G55,5,IF(I199&lt;Normalize!G55,5,IF(I199&gt;Normalize!I55,0,5-((I199-Normalize!G55)/(Normalize!I55-Normalize!G55))*5)))+IF(I200=Normalize!G56,5,IF(I200&lt;Normalize!G56,5,IF(I200&gt;Normalize!I56,0,5-((I200-Normalize!G56)/(Normalize!I56-Normalize!G56))*5)))+IF(I201=Normalize!G57,5,IF(I201&lt;Normalize!G57,5,IF(I201&gt;Normalize!I57,0,5-((I201-Normalize!G57)/(Normalize!I57-Normalize!G57))*5))))/3</f>
        <v>3.1944444444444446</v>
      </c>
      <c r="J198" s="5"/>
      <c r="K198" s="14"/>
      <c r="L198" s="310"/>
      <c r="M198" s="5"/>
      <c r="N198" s="217"/>
      <c r="O198" s="217"/>
      <c r="P198" s="217"/>
      <c r="Q198" s="236"/>
      <c r="R198" s="236"/>
      <c r="S198" s="5"/>
      <c r="T198" s="172"/>
      <c r="U198" s="125"/>
      <c r="V198" s="5"/>
    </row>
    <row r="199" spans="1:22" s="6" customFormat="1" ht="14.5" customHeight="1" x14ac:dyDescent="0.3">
      <c r="A199" s="37"/>
      <c r="B199" s="30"/>
      <c r="C199" s="290" t="s">
        <v>70</v>
      </c>
      <c r="D199" s="183" t="s">
        <v>339</v>
      </c>
      <c r="G199" s="5"/>
      <c r="H199" s="7" t="s">
        <v>340</v>
      </c>
      <c r="I199" s="291">
        <v>5</v>
      </c>
      <c r="J199" s="5"/>
      <c r="K199" s="282" t="str">
        <f>C199</f>
        <v>1.1</v>
      </c>
      <c r="L199" s="46"/>
      <c r="M199" s="5"/>
      <c r="N199" s="217"/>
      <c r="O199" s="217"/>
      <c r="P199" s="217"/>
      <c r="Q199" s="236"/>
      <c r="R199" s="236"/>
      <c r="S199" s="5"/>
      <c r="T199" s="172"/>
      <c r="U199" s="125"/>
      <c r="V199" s="5"/>
    </row>
    <row r="200" spans="1:22" s="6" customFormat="1" ht="14.5" customHeight="1" x14ac:dyDescent="0.3">
      <c r="A200" s="37"/>
      <c r="B200" s="30"/>
      <c r="C200" s="290" t="s">
        <v>73</v>
      </c>
      <c r="D200" s="183" t="s">
        <v>341</v>
      </c>
      <c r="G200" s="5"/>
      <c r="H200" s="7" t="s">
        <v>340</v>
      </c>
      <c r="I200" s="13">
        <v>4</v>
      </c>
      <c r="J200" s="5"/>
      <c r="K200" s="282" t="str">
        <f>C200</f>
        <v>1.2</v>
      </c>
      <c r="L200" s="46"/>
      <c r="M200" s="5"/>
      <c r="N200" s="217"/>
      <c r="O200" s="217"/>
      <c r="P200" s="217"/>
      <c r="Q200" s="236"/>
      <c r="R200" s="236"/>
      <c r="S200" s="5"/>
      <c r="T200" s="172"/>
      <c r="U200" s="125"/>
      <c r="V200" s="5"/>
    </row>
    <row r="201" spans="1:22" s="6" customFormat="1" ht="23.5" customHeight="1" thickBot="1" x14ac:dyDescent="0.35">
      <c r="A201" s="37"/>
      <c r="B201" s="30"/>
      <c r="C201" s="290" t="s">
        <v>75</v>
      </c>
      <c r="D201" s="183" t="s">
        <v>342</v>
      </c>
      <c r="G201" s="5"/>
      <c r="H201" s="7" t="s">
        <v>340</v>
      </c>
      <c r="I201" s="13">
        <v>2</v>
      </c>
      <c r="J201" s="5"/>
      <c r="K201" s="282" t="str">
        <f>C201</f>
        <v>1.3</v>
      </c>
      <c r="L201" s="46"/>
      <c r="M201" s="5"/>
      <c r="N201" s="217"/>
      <c r="O201" s="217"/>
      <c r="P201" s="217"/>
      <c r="Q201" s="236"/>
      <c r="R201" s="236"/>
      <c r="S201" s="5"/>
      <c r="T201" s="172"/>
      <c r="U201" s="125"/>
      <c r="V201" s="5"/>
    </row>
    <row r="202" spans="1:22" s="6" customFormat="1" ht="14.5" customHeight="1" thickBot="1" x14ac:dyDescent="0.35">
      <c r="A202" s="37"/>
      <c r="B202" s="67"/>
      <c r="C202" s="177"/>
      <c r="D202" s="30"/>
      <c r="E202" s="38"/>
      <c r="F202" s="38"/>
      <c r="G202" s="10"/>
      <c r="H202" s="28"/>
      <c r="I202" s="292"/>
      <c r="J202" s="5"/>
      <c r="K202" s="14"/>
      <c r="L202" s="14"/>
      <c r="M202" s="20"/>
      <c r="N202" s="217"/>
      <c r="O202" s="217"/>
      <c r="P202" s="217"/>
      <c r="Q202" s="236"/>
      <c r="R202" s="236"/>
      <c r="S202" s="65"/>
      <c r="T202" s="173"/>
      <c r="U202" s="125"/>
    </row>
    <row r="203" spans="1:22" s="6" customFormat="1" ht="14.5" customHeight="1" x14ac:dyDescent="0.35">
      <c r="B203" s="293">
        <v>2</v>
      </c>
      <c r="C203" s="288" t="s">
        <v>343</v>
      </c>
      <c r="D203" s="23"/>
      <c r="H203" s="289" t="s">
        <v>18</v>
      </c>
      <c r="I203" s="318">
        <f>(IF(I204=Normalize!G60,5,IF(I204&lt;Normalize!G60,5,IF(I204&gt;Normalize!I60,0,5-((I204-Normalize!G60)/(Normalize!I60-Normalize!G60))*5)))+IF(I205=Normalize!G61,5,IF(I205&lt;Normalize!G61,5,IF(I205&gt;Normalize!I61,0,((I205-Normalize!G61)/(Normalize!I61-Normalize!G61))*5)))+IF(I206=Normalize!G62,5,IF(I206&lt;Normalize!G62,5,IF(I206&gt;Normalize!I62,0,((I206-Normalize!G62)/(Normalize!I62-Normalize!G62))*5)))+IF(I207=Normalize!G63,5,IF(I207&lt;Normalize!G63,5,IF(I207&gt;Normalize!I63,0,((I207-Normalize!G63)/(Normalize!I63-Normalize!G63))*5)))+IF(I208=Normalize!G64,5,IF(I208&lt;Normalize!G64,5,IF(I208&gt;Normalize!I64,0,((I208-Normalize!G64)/(Normalize!I64-Normalize!G64))*5))))/5</f>
        <v>3.2549022785710378</v>
      </c>
      <c r="J203" s="20"/>
      <c r="K203" s="14"/>
      <c r="L203" s="310"/>
      <c r="M203" s="82"/>
      <c r="N203" s="217"/>
      <c r="O203" s="217"/>
      <c r="P203" s="217"/>
      <c r="Q203" s="236"/>
      <c r="R203" s="236"/>
      <c r="S203" s="5"/>
      <c r="T203" s="172"/>
      <c r="U203" s="125"/>
    </row>
    <row r="204" spans="1:22" s="6" customFormat="1" ht="14.5" customHeight="1" x14ac:dyDescent="0.35">
      <c r="B204" s="21"/>
      <c r="C204" s="294" t="s">
        <v>139</v>
      </c>
      <c r="D204" s="190" t="s">
        <v>344</v>
      </c>
      <c r="H204" s="7" t="s">
        <v>340</v>
      </c>
      <c r="I204" s="295">
        <v>1196</v>
      </c>
      <c r="J204" s="201"/>
      <c r="K204" s="296" t="str">
        <f>C204</f>
        <v>2.1</v>
      </c>
      <c r="L204" s="202"/>
      <c r="M204" s="82"/>
      <c r="N204" s="217"/>
      <c r="O204" s="217"/>
      <c r="P204" s="217"/>
      <c r="Q204" s="236"/>
      <c r="R204" s="236"/>
      <c r="S204" s="5"/>
      <c r="T204" s="172"/>
      <c r="U204" s="125"/>
    </row>
    <row r="205" spans="1:22" ht="18" customHeight="1" x14ac:dyDescent="0.35">
      <c r="B205" s="21"/>
      <c r="C205" s="294" t="s">
        <v>143</v>
      </c>
      <c r="D205" s="190" t="s">
        <v>345</v>
      </c>
      <c r="H205" s="7" t="s">
        <v>346</v>
      </c>
      <c r="I205" s="12">
        <v>281</v>
      </c>
      <c r="J205" s="203"/>
      <c r="K205" s="296" t="str">
        <f>C205</f>
        <v>2.2</v>
      </c>
      <c r="L205" s="202"/>
      <c r="M205" s="20"/>
      <c r="N205" s="237"/>
      <c r="O205" s="237"/>
      <c r="P205" s="237"/>
      <c r="Q205" s="236"/>
      <c r="R205" s="236"/>
      <c r="T205" s="172"/>
      <c r="U205" s="125"/>
    </row>
    <row r="206" spans="1:22" ht="18" customHeight="1" x14ac:dyDescent="0.35">
      <c r="B206" s="21"/>
      <c r="C206" s="294" t="s">
        <v>147</v>
      </c>
      <c r="D206" s="190" t="s">
        <v>347</v>
      </c>
      <c r="E206" s="6"/>
      <c r="F206" s="6"/>
      <c r="G206" s="6"/>
      <c r="H206" s="7" t="s">
        <v>346</v>
      </c>
      <c r="I206" s="13">
        <v>1.73</v>
      </c>
      <c r="J206" s="204"/>
      <c r="K206" s="296" t="str">
        <f>C206</f>
        <v>2.3</v>
      </c>
      <c r="L206" s="202"/>
      <c r="M206" s="20"/>
      <c r="N206" s="237"/>
      <c r="O206" s="237"/>
      <c r="P206" s="237"/>
      <c r="Q206" s="236"/>
      <c r="R206" s="236"/>
      <c r="T206" s="42"/>
    </row>
    <row r="207" spans="1:22" ht="16" customHeight="1" x14ac:dyDescent="0.35">
      <c r="B207" s="191"/>
      <c r="C207" s="297" t="s">
        <v>348</v>
      </c>
      <c r="D207" s="192" t="s">
        <v>349</v>
      </c>
      <c r="H207" s="7" t="s">
        <v>346</v>
      </c>
      <c r="I207" s="319">
        <v>1</v>
      </c>
      <c r="J207" s="320"/>
      <c r="K207" s="296" t="str">
        <f>C207</f>
        <v>2.4</v>
      </c>
      <c r="L207" s="202"/>
      <c r="M207" s="20"/>
      <c r="N207" s="237"/>
      <c r="O207" s="237"/>
      <c r="P207" s="237"/>
      <c r="Q207" s="236"/>
      <c r="R207" s="236"/>
      <c r="T207" s="42"/>
    </row>
    <row r="208" spans="1:22" ht="23.5" customHeight="1" thickBot="1" x14ac:dyDescent="0.4">
      <c r="B208" s="191"/>
      <c r="C208" s="297" t="s">
        <v>350</v>
      </c>
      <c r="D208" s="192" t="s">
        <v>351</v>
      </c>
      <c r="H208" s="7" t="s">
        <v>346</v>
      </c>
      <c r="I208" s="319">
        <v>1</v>
      </c>
      <c r="J208" s="320"/>
      <c r="K208" s="296" t="str">
        <f>C208</f>
        <v>2.5</v>
      </c>
      <c r="L208" s="202"/>
      <c r="M208" s="20"/>
      <c r="N208" s="237"/>
      <c r="O208" s="237"/>
      <c r="P208" s="237"/>
      <c r="Q208" s="236"/>
      <c r="R208" s="236"/>
      <c r="T208" s="42"/>
    </row>
    <row r="209" spans="1:20" ht="18" customHeight="1" thickBot="1" x14ac:dyDescent="0.35">
      <c r="B209" s="193"/>
      <c r="C209" s="193"/>
      <c r="H209" s="7"/>
      <c r="I209" s="298"/>
      <c r="J209" s="7"/>
      <c r="K209" s="159"/>
      <c r="M209" s="20"/>
      <c r="N209" s="237"/>
      <c r="O209" s="237"/>
      <c r="P209" s="237"/>
      <c r="Q209" s="236"/>
      <c r="R209" s="236"/>
      <c r="T209" s="42"/>
    </row>
    <row r="210" spans="1:20" ht="18" customHeight="1" x14ac:dyDescent="0.35">
      <c r="B210" s="299">
        <v>3</v>
      </c>
      <c r="C210" s="300" t="s">
        <v>352</v>
      </c>
      <c r="H210" s="289" t="s">
        <v>18</v>
      </c>
      <c r="I210" s="318">
        <f>(IF(I211=Normalize!G67,5,IF(I211&lt;Normalize!G67,5,IF(I211&gt;Normalize!I67,0,((I211-Normalize!G67)/(Normalize!I67-Normalize!G67))*5)))+IF(I212=Normalize!G68,5,IF(I212&lt;Normalize!G68,5,IF(I212&gt;Normalize!I68,0,((I212-Normalize!G68)/(Normalize!I68-Normalize!G68))*5)))+IF(I213=Normalize!G69,5,IF(I213&lt;Normalize!G69,5,IF(I213&gt;Normalize!I69,0,((I213-Normalize!G69)/(Normalize!I69-Normalize!G69))*5)))+IF(I214=Normalize!G70,5,IF(I214&lt;Normalize!G70,5,IF(I214&gt;Normalize!I70,0,((I214-Normalize!G70)/(Normalize!I70-Normalize!G70))*5)))+IF(I215=Normalize!G71,5,IF(I215&lt;Normalize!G71,5,IF(I215&gt;Normalize!I71,0,((I215-Normalize!G71)/(Normalize!I71-Normalize!G71))*5))))/5</f>
        <v>5</v>
      </c>
      <c r="J210" s="321"/>
      <c r="K210" s="159"/>
      <c r="M210" s="20"/>
      <c r="N210" s="237"/>
      <c r="O210" s="237"/>
      <c r="P210" s="237"/>
      <c r="Q210" s="236"/>
      <c r="R210" s="236"/>
      <c r="T210" s="42"/>
    </row>
    <row r="211" spans="1:20" ht="18" customHeight="1" x14ac:dyDescent="0.35">
      <c r="B211" s="191"/>
      <c r="C211" s="297" t="s">
        <v>353</v>
      </c>
      <c r="D211" s="192" t="s">
        <v>354</v>
      </c>
      <c r="H211" s="7" t="s">
        <v>346</v>
      </c>
      <c r="I211" s="322">
        <v>1</v>
      </c>
      <c r="J211" s="320"/>
      <c r="K211" s="296" t="str">
        <f>C211</f>
        <v>3.1</v>
      </c>
      <c r="L211" s="202"/>
      <c r="M211" s="20"/>
      <c r="N211" s="237"/>
      <c r="O211" s="237"/>
      <c r="P211" s="237"/>
      <c r="Q211" s="236"/>
      <c r="R211" s="236"/>
      <c r="T211" s="42"/>
    </row>
    <row r="212" spans="1:20" ht="18" customHeight="1" x14ac:dyDescent="0.35">
      <c r="B212" s="191"/>
      <c r="C212" s="297" t="s">
        <v>355</v>
      </c>
      <c r="D212" s="192" t="s">
        <v>356</v>
      </c>
      <c r="H212" s="7" t="s">
        <v>346</v>
      </c>
      <c r="I212" s="319">
        <v>1</v>
      </c>
      <c r="J212" s="320"/>
      <c r="K212" s="296" t="str">
        <f>C212</f>
        <v>3.2</v>
      </c>
      <c r="L212" s="202"/>
      <c r="M212" s="20"/>
      <c r="N212" s="237"/>
      <c r="O212" s="237"/>
      <c r="P212" s="237"/>
      <c r="Q212" s="236"/>
      <c r="R212" s="236"/>
      <c r="T212" s="42"/>
    </row>
    <row r="213" spans="1:20" ht="18" customHeight="1" x14ac:dyDescent="0.35">
      <c r="B213" s="191"/>
      <c r="C213" s="297" t="s">
        <v>357</v>
      </c>
      <c r="D213" s="192" t="s">
        <v>358</v>
      </c>
      <c r="H213" s="7" t="s">
        <v>346</v>
      </c>
      <c r="I213" s="205">
        <v>-0.06</v>
      </c>
      <c r="J213" s="206"/>
      <c r="K213" s="296" t="str">
        <f>C213</f>
        <v>3.3</v>
      </c>
      <c r="L213" s="202"/>
      <c r="M213" s="20"/>
      <c r="N213" s="237"/>
      <c r="O213" s="237"/>
      <c r="P213" s="237"/>
      <c r="Q213" s="236"/>
      <c r="R213" s="236"/>
      <c r="T213" s="42"/>
    </row>
    <row r="214" spans="1:20" ht="15.5" customHeight="1" x14ac:dyDescent="0.35">
      <c r="B214" s="191"/>
      <c r="C214" s="297" t="s">
        <v>359</v>
      </c>
      <c r="D214" s="192" t="s">
        <v>360</v>
      </c>
      <c r="H214" s="7" t="s">
        <v>346</v>
      </c>
      <c r="I214" s="205">
        <v>-0.44</v>
      </c>
      <c r="J214" s="206"/>
      <c r="K214" s="296" t="str">
        <f>C214</f>
        <v>3.4</v>
      </c>
      <c r="L214" s="202"/>
      <c r="M214" s="20"/>
      <c r="N214" s="237"/>
      <c r="O214" s="237"/>
      <c r="P214" s="237"/>
      <c r="Q214" s="236"/>
      <c r="R214" s="236"/>
      <c r="T214" s="42"/>
    </row>
    <row r="215" spans="1:20" ht="18" customHeight="1" x14ac:dyDescent="0.35">
      <c r="B215" s="191"/>
      <c r="C215" s="297" t="s">
        <v>361</v>
      </c>
      <c r="D215" s="192" t="s">
        <v>362</v>
      </c>
      <c r="H215" s="7" t="s">
        <v>346</v>
      </c>
      <c r="I215" s="205">
        <v>0.34</v>
      </c>
      <c r="J215" s="206"/>
      <c r="K215" s="296" t="str">
        <f>C215</f>
        <v>3.5</v>
      </c>
      <c r="L215" s="202"/>
      <c r="M215" s="20"/>
      <c r="N215" s="237"/>
      <c r="O215" s="237"/>
      <c r="P215" s="237"/>
      <c r="Q215" s="236"/>
      <c r="R215" s="236"/>
      <c r="T215" s="42"/>
    </row>
    <row r="216" spans="1:20" ht="14" customHeight="1" x14ac:dyDescent="0.3">
      <c r="C216" s="345"/>
      <c r="D216" s="346"/>
      <c r="I216" s="341"/>
      <c r="J216" s="342"/>
      <c r="M216" s="29"/>
      <c r="N216" s="237"/>
      <c r="O216" s="237"/>
      <c r="P216" s="237"/>
      <c r="Q216" s="236"/>
      <c r="R216" s="236"/>
      <c r="S216" s="124"/>
      <c r="T216" s="207"/>
    </row>
    <row r="217" spans="1:20" ht="14" customHeight="1" x14ac:dyDescent="0.3">
      <c r="B217" s="45" t="s">
        <v>363</v>
      </c>
      <c r="C217" s="238" t="s">
        <v>364</v>
      </c>
      <c r="D217" s="239"/>
      <c r="E217" s="165" t="s">
        <v>365</v>
      </c>
      <c r="F217" s="323" t="s">
        <v>366</v>
      </c>
      <c r="I217" s="343"/>
      <c r="J217" s="342"/>
      <c r="K217" s="301">
        <v>2</v>
      </c>
      <c r="L217" s="164" t="s">
        <v>367</v>
      </c>
      <c r="M217" s="27"/>
      <c r="N217" s="237"/>
      <c r="O217" s="237"/>
      <c r="P217" s="237"/>
      <c r="Q217" s="236"/>
      <c r="R217" s="236"/>
    </row>
    <row r="218" spans="1:20" ht="18" customHeight="1" x14ac:dyDescent="0.3">
      <c r="B218" s="2"/>
      <c r="C218" s="351"/>
      <c r="D218" s="352"/>
      <c r="E218" s="166"/>
      <c r="F218" s="302"/>
      <c r="G218" s="1"/>
      <c r="I218" s="343"/>
      <c r="J218" s="342"/>
      <c r="K218" s="163">
        <v>3</v>
      </c>
      <c r="L218" s="164"/>
      <c r="M218" s="20"/>
      <c r="N218" s="237"/>
      <c r="O218" s="237"/>
      <c r="P218" s="237"/>
      <c r="Q218" s="240"/>
      <c r="R218" s="240"/>
    </row>
    <row r="219" spans="1:20" ht="18" customHeight="1" x14ac:dyDescent="0.3">
      <c r="B219" s="45" t="s">
        <v>368</v>
      </c>
      <c r="C219" s="238" t="s">
        <v>369</v>
      </c>
      <c r="D219" s="239"/>
      <c r="E219" s="165" t="s">
        <v>370</v>
      </c>
      <c r="F219" s="324" t="s">
        <v>371</v>
      </c>
      <c r="J219" s="309"/>
      <c r="K219" s="301">
        <v>4</v>
      </c>
      <c r="L219" s="164"/>
      <c r="M219" s="6"/>
      <c r="N219" s="237"/>
      <c r="O219" s="237"/>
      <c r="P219" s="237"/>
      <c r="Q219" s="240"/>
      <c r="R219" s="240"/>
    </row>
    <row r="220" spans="1:20" x14ac:dyDescent="0.3">
      <c r="A220" s="6"/>
      <c r="B220" s="6"/>
      <c r="C220" s="30"/>
      <c r="D220" s="101"/>
      <c r="E220" s="97"/>
      <c r="F220" s="6"/>
      <c r="G220" s="18"/>
      <c r="H220" s="6"/>
      <c r="I220" s="6"/>
      <c r="J220" s="20"/>
      <c r="K220" s="20"/>
      <c r="L220" s="20"/>
      <c r="M220" s="20"/>
      <c r="N220" s="237"/>
      <c r="O220" s="237"/>
      <c r="P220" s="237"/>
      <c r="Q220" s="240"/>
      <c r="R220" s="240"/>
    </row>
    <row r="221" spans="1:20" x14ac:dyDescent="0.3">
      <c r="A221" s="37"/>
      <c r="B221" s="6"/>
      <c r="C221" s="30"/>
      <c r="D221" s="101"/>
      <c r="E221" s="97"/>
      <c r="F221" s="6"/>
      <c r="G221" s="18"/>
      <c r="H221" s="6"/>
      <c r="I221" s="6"/>
      <c r="J221" s="20"/>
      <c r="K221" s="20"/>
      <c r="L221" s="20"/>
      <c r="M221" s="20"/>
      <c r="N221" s="237"/>
      <c r="O221" s="237"/>
      <c r="P221" s="237"/>
      <c r="Q221" s="240"/>
      <c r="R221" s="240"/>
    </row>
    <row r="222" spans="1:20" ht="18" customHeight="1" x14ac:dyDescent="0.3">
      <c r="A222" s="37"/>
      <c r="B222" s="6"/>
      <c r="C222" s="176" t="s">
        <v>372</v>
      </c>
      <c r="D222" s="176"/>
      <c r="E222" s="176"/>
      <c r="F222" s="176"/>
      <c r="G222" s="176"/>
      <c r="H222" s="176"/>
      <c r="I222" s="177"/>
      <c r="J222" s="177"/>
      <c r="K222" s="178"/>
      <c r="L222" s="178"/>
      <c r="M222" s="178"/>
      <c r="N222" s="241"/>
      <c r="O222" s="237"/>
      <c r="P222" s="237"/>
      <c r="Q222" s="242"/>
      <c r="R222" s="242"/>
    </row>
    <row r="223" spans="1:20" x14ac:dyDescent="0.35">
      <c r="A223" s="37"/>
      <c r="B223" s="6"/>
      <c r="C223" s="179"/>
      <c r="D223" s="180" t="s">
        <v>373</v>
      </c>
      <c r="E223" s="350"/>
      <c r="F223" s="348"/>
      <c r="G223" s="340"/>
      <c r="H223" s="181"/>
      <c r="I223" s="181"/>
      <c r="J223" s="181"/>
      <c r="K223" s="178"/>
      <c r="L223" s="178"/>
      <c r="M223" s="178"/>
      <c r="N223" s="178"/>
      <c r="O223" s="3"/>
      <c r="P223" s="3"/>
      <c r="Q223" s="60"/>
      <c r="R223" s="60"/>
    </row>
    <row r="224" spans="1:20" x14ac:dyDescent="0.35">
      <c r="A224" s="37"/>
      <c r="B224" s="6"/>
      <c r="C224" s="179"/>
      <c r="D224" s="180" t="s">
        <v>374</v>
      </c>
      <c r="E224" s="349"/>
      <c r="F224" s="348"/>
      <c r="G224" s="340"/>
      <c r="H224" s="182"/>
      <c r="I224" s="177"/>
      <c r="J224" s="182"/>
      <c r="K224" s="177"/>
      <c r="L224" s="177"/>
      <c r="M224" s="177"/>
      <c r="N224" s="177"/>
      <c r="O224" s="3"/>
      <c r="P224" s="3"/>
      <c r="Q224" s="60"/>
      <c r="R224" s="60"/>
    </row>
    <row r="225" spans="1:18" x14ac:dyDescent="0.35">
      <c r="A225" s="37"/>
      <c r="B225" s="6"/>
      <c r="C225" s="179"/>
      <c r="D225" s="180" t="s">
        <v>375</v>
      </c>
      <c r="E225" s="349"/>
      <c r="F225" s="348"/>
      <c r="G225" s="340"/>
      <c r="H225" s="183"/>
      <c r="I225" s="347" t="s">
        <v>376</v>
      </c>
      <c r="J225" s="348"/>
      <c r="K225" s="348"/>
      <c r="L225" s="348"/>
      <c r="M225" s="348"/>
      <c r="N225" s="340"/>
      <c r="O225" s="3"/>
      <c r="P225" s="3"/>
      <c r="Q225" s="60"/>
      <c r="R225" s="60"/>
    </row>
    <row r="226" spans="1:18" x14ac:dyDescent="0.35">
      <c r="A226" s="37"/>
      <c r="B226" s="6"/>
      <c r="C226" s="179"/>
      <c r="D226" s="180" t="s">
        <v>377</v>
      </c>
      <c r="E226" s="349"/>
      <c r="F226" s="348"/>
      <c r="G226" s="340"/>
      <c r="H226" s="183"/>
      <c r="I226" s="344" t="s">
        <v>378</v>
      </c>
      <c r="J226" s="340"/>
      <c r="K226" s="344" t="s">
        <v>379</v>
      </c>
      <c r="L226" s="340"/>
      <c r="M226" s="339" t="s">
        <v>380</v>
      </c>
      <c r="N226" s="340"/>
      <c r="O226" s="3"/>
      <c r="P226" s="3"/>
      <c r="Q226" s="60"/>
      <c r="R226" s="60"/>
    </row>
    <row r="227" spans="1:18" x14ac:dyDescent="0.35">
      <c r="A227" s="37"/>
      <c r="B227" s="6"/>
      <c r="C227" s="179"/>
      <c r="D227" s="180" t="s">
        <v>381</v>
      </c>
      <c r="E227" s="349"/>
      <c r="F227" s="348"/>
      <c r="G227" s="340"/>
      <c r="H227" s="183"/>
      <c r="I227" s="184" t="s">
        <v>382</v>
      </c>
      <c r="J227" s="185" t="s">
        <v>383</v>
      </c>
      <c r="K227" s="184" t="s">
        <v>382</v>
      </c>
      <c r="L227" s="185" t="s">
        <v>383</v>
      </c>
      <c r="M227" s="184" t="s">
        <v>382</v>
      </c>
      <c r="N227" s="185" t="s">
        <v>383</v>
      </c>
      <c r="O227" s="3"/>
      <c r="P227" s="3"/>
      <c r="Q227" s="60"/>
      <c r="R227" s="60"/>
    </row>
    <row r="228" spans="1:18" ht="23" customHeight="1" thickBot="1" x14ac:dyDescent="0.4">
      <c r="A228" s="37"/>
      <c r="B228" s="6"/>
      <c r="C228" s="181"/>
      <c r="D228" s="180" t="s">
        <v>384</v>
      </c>
      <c r="E228" s="186" t="s">
        <v>385</v>
      </c>
      <c r="F228" s="186" t="s">
        <v>386</v>
      </c>
      <c r="G228" s="186" t="s">
        <v>387</v>
      </c>
      <c r="H228" s="187" t="s">
        <v>388</v>
      </c>
      <c r="I228" s="325">
        <v>0</v>
      </c>
      <c r="J228" s="326">
        <v>0</v>
      </c>
      <c r="K228" s="325">
        <v>0</v>
      </c>
      <c r="L228" s="326">
        <v>0</v>
      </c>
      <c r="M228" s="325">
        <v>0</v>
      </c>
      <c r="N228" s="326">
        <v>0</v>
      </c>
      <c r="O228" s="3"/>
      <c r="P228" s="3"/>
      <c r="Q228" s="119"/>
      <c r="R228" s="119"/>
    </row>
    <row r="229" spans="1:18" ht="18" customHeight="1" x14ac:dyDescent="0.3">
      <c r="A229" s="36"/>
      <c r="B229" s="6"/>
      <c r="C229" s="6"/>
      <c r="D229" s="23"/>
      <c r="E229" s="6"/>
      <c r="F229" s="6"/>
      <c r="G229" s="23"/>
      <c r="H229" s="61"/>
      <c r="I229" s="6"/>
      <c r="J229" s="28"/>
      <c r="K229" s="28"/>
      <c r="L229" s="28"/>
      <c r="M229" s="28"/>
      <c r="N229" s="3"/>
      <c r="O229" s="3"/>
      <c r="P229" s="3"/>
      <c r="Q229" s="106"/>
      <c r="R229" s="106"/>
    </row>
    <row r="230" spans="1:18" ht="18" customHeight="1" x14ac:dyDescent="0.3">
      <c r="A230" s="36"/>
      <c r="B230" s="6"/>
      <c r="C230" s="6"/>
      <c r="D230" s="23"/>
      <c r="E230" s="6"/>
      <c r="F230" s="6"/>
      <c r="G230" s="23"/>
      <c r="H230" s="3"/>
      <c r="I230" s="6"/>
      <c r="J230" s="28"/>
      <c r="K230" s="28"/>
      <c r="L230" s="28"/>
      <c r="M230" s="28"/>
      <c r="N230" s="3"/>
      <c r="O230" s="3"/>
      <c r="P230" s="3"/>
      <c r="Q230" s="106"/>
      <c r="R230" s="106"/>
    </row>
    <row r="231" spans="1:18" ht="18" customHeight="1" x14ac:dyDescent="0.3">
      <c r="A231" s="36"/>
      <c r="B231" s="6"/>
      <c r="C231" s="6"/>
      <c r="D231" s="23"/>
      <c r="E231" s="6"/>
      <c r="F231" s="6"/>
      <c r="G231" s="23"/>
      <c r="H231" s="3"/>
      <c r="I231" s="6"/>
      <c r="J231" s="28"/>
      <c r="K231" s="28"/>
      <c r="L231" s="28"/>
      <c r="M231" s="28"/>
      <c r="N231" s="3"/>
      <c r="O231" s="3"/>
      <c r="P231" s="3"/>
      <c r="Q231" s="126"/>
      <c r="R231" s="126"/>
    </row>
    <row r="232" spans="1:18" ht="18" customHeight="1" x14ac:dyDescent="0.3">
      <c r="A232" s="36"/>
      <c r="B232" s="6"/>
      <c r="C232" s="6"/>
      <c r="D232" s="23"/>
      <c r="E232" s="6"/>
      <c r="F232" s="6"/>
      <c r="G232" s="18"/>
      <c r="H232" s="3"/>
      <c r="I232" s="5"/>
      <c r="J232" s="28"/>
      <c r="K232" s="28"/>
      <c r="L232" s="28"/>
      <c r="M232" s="28"/>
      <c r="N232" s="3"/>
      <c r="O232" s="3"/>
      <c r="P232" s="3"/>
      <c r="Q232" s="25"/>
      <c r="R232" s="25"/>
    </row>
    <row r="233" spans="1:18" ht="18" customHeight="1" x14ac:dyDescent="0.3">
      <c r="A233" s="36"/>
      <c r="B233" s="6"/>
      <c r="C233" s="6"/>
      <c r="D233" s="23"/>
      <c r="E233" s="6"/>
      <c r="F233" s="6"/>
      <c r="G233" s="5"/>
      <c r="H233" s="5"/>
      <c r="I233" s="5"/>
      <c r="J233" s="28"/>
      <c r="K233" s="28"/>
      <c r="L233" s="28"/>
      <c r="M233" s="28"/>
      <c r="N233" s="3"/>
      <c r="O233" s="3"/>
      <c r="P233" s="3"/>
      <c r="Q233" s="10"/>
      <c r="R233" s="10"/>
    </row>
    <row r="234" spans="1:18" x14ac:dyDescent="0.3">
      <c r="A234" s="36"/>
      <c r="B234" s="6"/>
      <c r="C234" s="6"/>
      <c r="D234" s="23"/>
      <c r="E234" s="6"/>
      <c r="F234" s="6"/>
      <c r="G234" s="5"/>
      <c r="I234" s="5"/>
      <c r="J234" s="5"/>
      <c r="K234" s="5"/>
      <c r="L234" s="5"/>
      <c r="M234" s="5"/>
      <c r="N234" s="3"/>
      <c r="O234" s="3"/>
      <c r="P234" s="3"/>
      <c r="Q234" s="10"/>
      <c r="R234" s="10"/>
    </row>
    <row r="235" spans="1:18" x14ac:dyDescent="0.3">
      <c r="A235" s="36"/>
      <c r="B235" s="15"/>
      <c r="C235" s="15"/>
      <c r="D235" s="303"/>
      <c r="E235" s="15"/>
      <c r="F235" s="15"/>
      <c r="G235" s="3"/>
      <c r="H235" s="3"/>
      <c r="I235" s="3"/>
      <c r="J235" s="20"/>
      <c r="K235" s="20"/>
      <c r="L235" s="20"/>
      <c r="M235" s="20"/>
      <c r="N235" s="3"/>
      <c r="O235" s="3"/>
      <c r="P235" s="3"/>
    </row>
    <row r="236" spans="1:18" x14ac:dyDescent="0.3">
      <c r="A236" s="37"/>
      <c r="B236" s="15"/>
      <c r="C236" s="15"/>
      <c r="D236" s="303"/>
      <c r="E236" s="15"/>
      <c r="F236" s="15"/>
      <c r="G236" s="3"/>
      <c r="I236" s="3"/>
      <c r="J236" s="20"/>
      <c r="K236" s="20"/>
      <c r="L236" s="20"/>
      <c r="M236" s="20"/>
      <c r="N236" s="3"/>
      <c r="O236" s="3"/>
      <c r="P236" s="3"/>
    </row>
    <row r="237" spans="1:18" x14ac:dyDescent="0.3">
      <c r="A237" s="37"/>
      <c r="B237" s="15"/>
      <c r="C237" s="15"/>
      <c r="D237" s="303"/>
      <c r="E237" s="15"/>
      <c r="F237" s="15"/>
      <c r="G237" s="3"/>
      <c r="H237" s="3"/>
      <c r="I237" s="3"/>
      <c r="J237" s="20"/>
      <c r="K237" s="20"/>
      <c r="L237" s="20"/>
      <c r="M237" s="20"/>
      <c r="N237" s="3"/>
      <c r="O237" s="3"/>
      <c r="P237" s="3"/>
    </row>
    <row r="238" spans="1:18" x14ac:dyDescent="0.3">
      <c r="A238" s="37"/>
      <c r="B238" s="20"/>
      <c r="C238" s="20"/>
      <c r="D238" s="30"/>
      <c r="E238" s="38"/>
      <c r="F238" s="38"/>
      <c r="G238" s="10"/>
      <c r="H238" s="5"/>
      <c r="I238" s="10"/>
      <c r="J238" s="5"/>
      <c r="K238" s="5"/>
      <c r="L238" s="5"/>
      <c r="M238" s="5"/>
      <c r="N238" s="3"/>
      <c r="O238" s="3"/>
      <c r="P238" s="3"/>
    </row>
    <row r="239" spans="1:18" x14ac:dyDescent="0.3">
      <c r="A239" s="5"/>
      <c r="B239" s="20"/>
      <c r="C239" s="20"/>
      <c r="D239" s="30"/>
      <c r="E239" s="38"/>
      <c r="F239" s="38"/>
      <c r="G239" s="38"/>
      <c r="I239" s="38"/>
      <c r="J239" s="6"/>
      <c r="K239" s="6"/>
      <c r="L239" s="6"/>
      <c r="M239" s="6"/>
      <c r="N239" s="3"/>
      <c r="O239" s="3"/>
      <c r="P239" s="3"/>
    </row>
    <row r="240" spans="1:18" x14ac:dyDescent="0.3">
      <c r="A240" s="6"/>
      <c r="B240" s="20"/>
      <c r="C240" s="20"/>
      <c r="D240" s="30"/>
      <c r="E240" s="38"/>
      <c r="F240" s="38"/>
      <c r="G240" s="38"/>
      <c r="H240" s="6"/>
      <c r="I240" s="38"/>
      <c r="J240" s="6"/>
      <c r="K240" s="6"/>
      <c r="L240" s="6"/>
      <c r="M240" s="6"/>
      <c r="N240" s="3"/>
      <c r="O240" s="3"/>
      <c r="P240" s="3"/>
    </row>
    <row r="241" spans="1:16" x14ac:dyDescent="0.3">
      <c r="A241" s="6"/>
      <c r="N241" s="3"/>
      <c r="O241" s="3"/>
      <c r="P241" s="3"/>
    </row>
    <row r="242" spans="1:16" x14ac:dyDescent="0.3">
      <c r="N242" s="3"/>
      <c r="O242" s="3"/>
      <c r="P242" s="3"/>
    </row>
    <row r="243" spans="1:16" x14ac:dyDescent="0.3">
      <c r="N243" s="3"/>
      <c r="O243" s="3"/>
      <c r="P243" s="3"/>
    </row>
    <row r="244" spans="1:16" x14ac:dyDescent="0.3">
      <c r="N244" s="3"/>
      <c r="O244" s="3"/>
      <c r="P244" s="3"/>
    </row>
    <row r="245" spans="1:16" x14ac:dyDescent="0.3">
      <c r="N245" s="3"/>
      <c r="O245" s="3"/>
      <c r="P245" s="3"/>
    </row>
    <row r="246" spans="1:16" x14ac:dyDescent="0.3">
      <c r="B246" s="310"/>
      <c r="C246" s="310"/>
      <c r="D246" s="303"/>
      <c r="E246" s="15"/>
      <c r="F246" s="15"/>
      <c r="G246" s="3"/>
      <c r="I246" s="14"/>
      <c r="J246" s="3"/>
      <c r="K246" s="3"/>
      <c r="L246" s="3"/>
      <c r="M246" s="3"/>
      <c r="N246" s="3"/>
      <c r="O246" s="3"/>
      <c r="P246" s="3"/>
    </row>
    <row r="247" spans="1:16" x14ac:dyDescent="0.3">
      <c r="B247" s="310"/>
      <c r="C247" s="310"/>
      <c r="D247" s="303"/>
      <c r="E247" s="15"/>
      <c r="F247" s="15"/>
      <c r="G247" s="3"/>
      <c r="H247" s="3"/>
      <c r="I247" s="14"/>
      <c r="J247" s="3"/>
      <c r="K247" s="3"/>
      <c r="L247" s="3"/>
      <c r="M247" s="3"/>
      <c r="N247" s="3"/>
      <c r="O247" s="3"/>
      <c r="P247" s="3"/>
    </row>
    <row r="248" spans="1:16" x14ac:dyDescent="0.3">
      <c r="A248" s="3"/>
      <c r="B248" s="310"/>
      <c r="C248" s="310"/>
      <c r="D248" s="303"/>
      <c r="E248" s="15"/>
      <c r="F248" s="15"/>
      <c r="G248" s="3"/>
      <c r="H248" s="3"/>
      <c r="I248" s="14"/>
      <c r="J248" s="3"/>
      <c r="K248" s="3"/>
      <c r="L248" s="3"/>
      <c r="M248" s="3"/>
      <c r="N248" s="3"/>
      <c r="O248" s="14"/>
      <c r="P248" s="14"/>
    </row>
    <row r="249" spans="1:16" x14ac:dyDescent="0.3">
      <c r="A249" s="3"/>
      <c r="B249" s="310"/>
      <c r="C249" s="310"/>
      <c r="D249" s="303"/>
      <c r="E249" s="15"/>
      <c r="F249" s="15"/>
      <c r="G249" s="3"/>
      <c r="H249" s="3"/>
      <c r="I249" s="14"/>
      <c r="J249" s="3"/>
      <c r="K249" s="3"/>
      <c r="L249" s="3"/>
      <c r="M249" s="3"/>
      <c r="N249" s="3"/>
      <c r="O249" s="14"/>
      <c r="P249" s="14"/>
    </row>
    <row r="250" spans="1:16" x14ac:dyDescent="0.3">
      <c r="A250" s="3"/>
      <c r="B250" s="310"/>
      <c r="C250" s="310"/>
      <c r="D250" s="303"/>
      <c r="E250" s="15"/>
      <c r="F250" s="15"/>
      <c r="G250" s="3"/>
      <c r="H250" s="3"/>
      <c r="I250" s="14"/>
      <c r="J250" s="3"/>
      <c r="K250" s="3"/>
      <c r="L250" s="3"/>
      <c r="M250" s="3"/>
      <c r="N250" s="3"/>
      <c r="O250" s="14"/>
      <c r="P250" s="14"/>
    </row>
    <row r="251" spans="1:16" x14ac:dyDescent="0.3">
      <c r="A251" s="3"/>
      <c r="B251" s="310"/>
      <c r="C251" s="310"/>
      <c r="D251" s="303"/>
      <c r="E251" s="15"/>
      <c r="F251" s="15"/>
      <c r="G251" s="3"/>
      <c r="H251" s="3"/>
      <c r="I251" s="14"/>
      <c r="J251" s="3"/>
      <c r="K251" s="3"/>
      <c r="L251" s="3"/>
      <c r="M251" s="3"/>
      <c r="N251" s="3"/>
      <c r="O251" s="14"/>
      <c r="P251" s="14"/>
    </row>
    <row r="252" spans="1:16" x14ac:dyDescent="0.3">
      <c r="A252" s="3"/>
      <c r="B252" s="310"/>
      <c r="C252" s="310"/>
      <c r="D252" s="303"/>
      <c r="E252" s="15"/>
      <c r="F252" s="15"/>
      <c r="G252" s="3"/>
      <c r="H252" s="3"/>
      <c r="I252" s="14"/>
      <c r="J252" s="3"/>
      <c r="K252" s="3"/>
      <c r="L252" s="3"/>
      <c r="M252" s="3"/>
      <c r="N252" s="3"/>
      <c r="O252" s="14"/>
      <c r="P252" s="14"/>
    </row>
    <row r="253" spans="1:16" x14ac:dyDescent="0.3">
      <c r="A253" s="3"/>
      <c r="B253" s="310"/>
      <c r="C253" s="310"/>
      <c r="D253" s="303"/>
      <c r="E253" s="15"/>
      <c r="F253" s="15"/>
      <c r="G253" s="3"/>
      <c r="H253" s="3"/>
      <c r="I253" s="14"/>
      <c r="J253" s="3"/>
      <c r="K253" s="3"/>
      <c r="L253" s="3"/>
      <c r="M253" s="3"/>
      <c r="N253" s="3"/>
      <c r="O253" s="14"/>
      <c r="P253" s="14"/>
    </row>
    <row r="254" spans="1:16" x14ac:dyDescent="0.3">
      <c r="A254" s="3"/>
      <c r="B254" s="310"/>
      <c r="C254" s="310"/>
      <c r="D254" s="303"/>
      <c r="E254" s="15"/>
      <c r="F254" s="15"/>
      <c r="G254" s="3"/>
      <c r="H254" s="3"/>
      <c r="I254" s="14"/>
      <c r="J254" s="3"/>
      <c r="K254" s="3"/>
      <c r="L254" s="3"/>
      <c r="M254" s="3"/>
      <c r="N254" s="3"/>
      <c r="O254" s="14"/>
      <c r="P254" s="14"/>
    </row>
    <row r="255" spans="1:16" x14ac:dyDescent="0.3">
      <c r="A255" s="3"/>
      <c r="B255" s="310"/>
      <c r="C255" s="310"/>
      <c r="D255" s="303"/>
      <c r="E255" s="15"/>
      <c r="F255" s="15"/>
      <c r="G255" s="3"/>
      <c r="H255" s="3"/>
      <c r="I255" s="14"/>
      <c r="J255" s="3"/>
      <c r="K255" s="3"/>
      <c r="L255" s="3"/>
      <c r="M255" s="3"/>
      <c r="N255" s="3"/>
      <c r="O255" s="14"/>
      <c r="P255" s="14"/>
    </row>
    <row r="256" spans="1:16" x14ac:dyDescent="0.3">
      <c r="A256" s="3"/>
      <c r="B256" s="310"/>
      <c r="C256" s="310"/>
      <c r="D256" s="303"/>
      <c r="E256" s="15"/>
      <c r="F256" s="15"/>
      <c r="G256" s="3"/>
      <c r="H256" s="3"/>
      <c r="I256" s="14"/>
      <c r="J256" s="3"/>
      <c r="K256" s="3"/>
      <c r="L256" s="3"/>
      <c r="M256" s="3"/>
      <c r="N256" s="3"/>
      <c r="O256" s="14"/>
      <c r="P256" s="14"/>
    </row>
    <row r="257" spans="1:16" x14ac:dyDescent="0.3">
      <c r="A257" s="3"/>
      <c r="B257" s="310"/>
      <c r="C257" s="310"/>
      <c r="D257" s="303"/>
      <c r="E257" s="15"/>
      <c r="F257" s="15"/>
      <c r="G257" s="3"/>
      <c r="H257" s="3"/>
      <c r="I257" s="14"/>
      <c r="J257" s="3"/>
      <c r="K257" s="3"/>
      <c r="L257" s="3"/>
      <c r="M257" s="3"/>
      <c r="N257" s="3"/>
      <c r="O257" s="14"/>
      <c r="P257" s="14"/>
    </row>
    <row r="258" spans="1:16" x14ac:dyDescent="0.3">
      <c r="A258" s="3"/>
      <c r="B258" s="310"/>
      <c r="C258" s="310"/>
      <c r="D258" s="303"/>
      <c r="E258" s="15"/>
      <c r="F258" s="15"/>
      <c r="G258" s="3"/>
      <c r="H258" s="3"/>
      <c r="I258" s="14"/>
      <c r="J258" s="3"/>
      <c r="K258" s="3"/>
      <c r="L258" s="3"/>
      <c r="M258" s="3"/>
      <c r="N258" s="3"/>
      <c r="O258" s="14"/>
      <c r="P258" s="14"/>
    </row>
    <row r="259" spans="1:16" x14ac:dyDescent="0.3">
      <c r="A259" s="3"/>
      <c r="B259" s="310"/>
      <c r="C259" s="310"/>
      <c r="D259" s="303"/>
      <c r="E259" s="15"/>
      <c r="F259" s="15"/>
      <c r="G259" s="3"/>
      <c r="H259" s="3"/>
      <c r="I259" s="14"/>
      <c r="J259" s="3"/>
      <c r="K259" s="3"/>
      <c r="L259" s="3"/>
      <c r="M259" s="3"/>
      <c r="N259" s="3"/>
      <c r="O259" s="14"/>
      <c r="P259" s="14"/>
    </row>
    <row r="260" spans="1:16" x14ac:dyDescent="0.3">
      <c r="A260" s="3"/>
      <c r="B260" s="310"/>
      <c r="C260" s="310"/>
      <c r="D260" s="303"/>
      <c r="E260" s="15"/>
      <c r="F260" s="15"/>
      <c r="G260" s="3"/>
      <c r="H260" s="3"/>
      <c r="I260" s="14"/>
      <c r="J260" s="3"/>
      <c r="K260" s="3"/>
      <c r="L260" s="3"/>
      <c r="M260" s="3"/>
      <c r="N260" s="3"/>
      <c r="O260" s="14"/>
      <c r="P260" s="14"/>
    </row>
    <row r="261" spans="1:16" x14ac:dyDescent="0.3">
      <c r="A261" s="3"/>
      <c r="B261" s="310"/>
      <c r="C261" s="310"/>
      <c r="D261" s="303"/>
      <c r="E261" s="15"/>
      <c r="F261" s="15"/>
      <c r="G261" s="3"/>
      <c r="H261" s="3"/>
      <c r="I261" s="14"/>
      <c r="J261" s="3"/>
      <c r="K261" s="3"/>
      <c r="L261" s="3"/>
      <c r="M261" s="3"/>
      <c r="N261" s="3"/>
      <c r="O261" s="14"/>
      <c r="P261" s="14"/>
    </row>
    <row r="262" spans="1:16" x14ac:dyDescent="0.3">
      <c r="A262" s="3"/>
      <c r="B262" s="310"/>
      <c r="C262" s="310"/>
      <c r="D262" s="303"/>
      <c r="E262" s="15"/>
      <c r="F262" s="15"/>
      <c r="G262" s="3"/>
      <c r="H262" s="3"/>
      <c r="I262" s="14"/>
      <c r="J262" s="3"/>
      <c r="K262" s="3"/>
      <c r="L262" s="3"/>
      <c r="M262" s="3"/>
      <c r="N262" s="3"/>
      <c r="O262" s="14"/>
      <c r="P262" s="14"/>
    </row>
    <row r="263" spans="1:16" x14ac:dyDescent="0.3">
      <c r="A263" s="3"/>
      <c r="B263" s="310"/>
      <c r="C263" s="310"/>
      <c r="D263" s="303"/>
      <c r="E263" s="15"/>
      <c r="F263" s="15"/>
      <c r="G263" s="3"/>
      <c r="H263" s="3"/>
      <c r="I263" s="14"/>
      <c r="J263" s="3"/>
      <c r="K263" s="3"/>
      <c r="L263" s="3"/>
      <c r="M263" s="3"/>
      <c r="N263" s="3"/>
      <c r="O263" s="14"/>
      <c r="P263" s="14"/>
    </row>
    <row r="264" spans="1:16" x14ac:dyDescent="0.3">
      <c r="A264" s="3"/>
      <c r="B264" s="310"/>
      <c r="C264" s="310"/>
      <c r="D264" s="303"/>
      <c r="E264" s="15"/>
      <c r="F264" s="15"/>
      <c r="G264" s="3"/>
      <c r="H264" s="3"/>
      <c r="I264" s="14"/>
      <c r="J264" s="3"/>
      <c r="K264" s="3"/>
      <c r="L264" s="3"/>
      <c r="M264" s="3"/>
      <c r="N264" s="3"/>
      <c r="O264" s="14"/>
      <c r="P264" s="14"/>
    </row>
    <row r="265" spans="1:16" x14ac:dyDescent="0.3">
      <c r="A265" s="3"/>
      <c r="B265" s="310"/>
      <c r="C265" s="310"/>
      <c r="D265" s="303"/>
      <c r="E265" s="15"/>
      <c r="F265" s="15"/>
      <c r="G265" s="3"/>
      <c r="H265" s="3"/>
      <c r="I265" s="14"/>
      <c r="J265" s="3"/>
      <c r="K265" s="3"/>
      <c r="L265" s="3"/>
      <c r="M265" s="3"/>
      <c r="N265" s="3"/>
      <c r="O265" s="14"/>
      <c r="P265" s="14"/>
    </row>
    <row r="266" spans="1:16" x14ac:dyDescent="0.3">
      <c r="A266" s="3"/>
    </row>
    <row r="267" spans="1:16" x14ac:dyDescent="0.3">
      <c r="A267" s="3"/>
      <c r="B267" s="310"/>
      <c r="C267" s="310"/>
      <c r="D267" s="303"/>
      <c r="E267" s="15"/>
      <c r="F267" s="15"/>
      <c r="G267" s="3"/>
      <c r="H267" s="3"/>
      <c r="I267" s="14"/>
      <c r="J267" s="3"/>
      <c r="K267" s="3"/>
      <c r="L267" s="3"/>
      <c r="M267" s="3"/>
      <c r="N267" s="3"/>
      <c r="O267" s="14"/>
      <c r="P267" s="14"/>
    </row>
    <row r="268" spans="1:16" x14ac:dyDescent="0.3">
      <c r="A268" s="3"/>
      <c r="B268" s="310"/>
      <c r="C268" s="310"/>
      <c r="D268" s="303"/>
      <c r="E268" s="15"/>
      <c r="F268" s="15"/>
      <c r="G268" s="3"/>
      <c r="H268" s="3"/>
      <c r="I268" s="14"/>
      <c r="J268" s="3"/>
      <c r="K268" s="3"/>
      <c r="L268" s="3"/>
      <c r="M268" s="3"/>
      <c r="N268" s="3"/>
      <c r="O268" s="14"/>
      <c r="P268" s="14"/>
    </row>
    <row r="269" spans="1:16" x14ac:dyDescent="0.3">
      <c r="A269" s="3"/>
      <c r="B269" s="310"/>
      <c r="C269" s="310"/>
      <c r="D269" s="303"/>
      <c r="E269" s="15"/>
      <c r="F269" s="15"/>
      <c r="G269" s="3"/>
      <c r="H269" s="3"/>
      <c r="I269" s="14"/>
      <c r="J269" s="3"/>
      <c r="K269" s="3"/>
      <c r="L269" s="3"/>
      <c r="M269" s="3"/>
      <c r="N269" s="3"/>
      <c r="O269" s="14"/>
      <c r="P269" s="14"/>
    </row>
    <row r="270" spans="1:16" x14ac:dyDescent="0.3">
      <c r="A270" s="3"/>
      <c r="B270" s="310"/>
      <c r="C270" s="310"/>
      <c r="D270" s="303"/>
      <c r="E270" s="15"/>
      <c r="F270" s="15"/>
      <c r="G270" s="3"/>
      <c r="H270" s="3"/>
      <c r="I270" s="14"/>
      <c r="J270" s="3"/>
      <c r="K270" s="3"/>
      <c r="L270" s="3"/>
      <c r="M270" s="3"/>
      <c r="N270" s="3"/>
      <c r="O270" s="14"/>
      <c r="P270" s="14"/>
    </row>
    <row r="271" spans="1:16" x14ac:dyDescent="0.3">
      <c r="A271" s="3"/>
      <c r="B271" s="310"/>
      <c r="C271" s="310"/>
      <c r="D271" s="303"/>
      <c r="E271" s="15"/>
      <c r="F271" s="15"/>
      <c r="G271" s="3"/>
      <c r="H271" s="3"/>
      <c r="I271" s="14"/>
      <c r="J271" s="3"/>
      <c r="K271" s="3"/>
      <c r="L271" s="3"/>
      <c r="M271" s="3"/>
      <c r="N271" s="3"/>
      <c r="O271" s="14"/>
      <c r="P271" s="14"/>
    </row>
    <row r="272" spans="1:16" x14ac:dyDescent="0.3">
      <c r="A272" s="3"/>
      <c r="B272" s="310"/>
      <c r="C272" s="310"/>
      <c r="D272" s="303"/>
      <c r="E272" s="15"/>
      <c r="F272" s="15"/>
      <c r="G272" s="3"/>
      <c r="H272" s="3"/>
      <c r="I272" s="14"/>
      <c r="J272" s="3"/>
      <c r="K272" s="3"/>
      <c r="L272" s="3"/>
      <c r="M272" s="3"/>
      <c r="N272" s="3"/>
      <c r="O272" s="14"/>
      <c r="P272" s="14"/>
    </row>
  </sheetData>
  <mergeCells count="12">
    <mergeCell ref="E227:G227"/>
    <mergeCell ref="E226:G226"/>
    <mergeCell ref="C218:D218"/>
    <mergeCell ref="E225:G225"/>
    <mergeCell ref="K226:L226"/>
    <mergeCell ref="M226:N226"/>
    <mergeCell ref="I216:J218"/>
    <mergeCell ref="I226:J226"/>
    <mergeCell ref="C216:D216"/>
    <mergeCell ref="I225:N225"/>
    <mergeCell ref="E224:G224"/>
    <mergeCell ref="E223:G223"/>
  </mergeCells>
  <dataValidations count="4">
    <dataValidation type="list" operator="greaterThanOrEqual" showInputMessage="1" showErrorMessage="1" errorTitle="ניתן להזין בתא זה רק 5 או 0" error="כן=5; לא=0" sqref="I79:I82 I85 I92 I96:I97 I103 I107:I112 I114:I120 I123:I131 I134:I140 I142:I149 I151 I154:I157 I182 I187 I189 I192:I195 M21:M26" xr:uid="{00000000-0002-0000-0000-000000000000}">
      <formula1>"0,5"</formula1>
    </dataValidation>
    <dataValidation type="whole" showInputMessage="1" showErrorMessage="1" errorTitle="תא מוגבל הזנה" error="ערך זה הינו נומרי + בן 4 ספרות בלבד." sqref="I174" xr:uid="{00000000-0002-0000-0000-000001000000}">
      <formula1>1900</formula1>
      <formula2>2100</formula2>
    </dataValidation>
    <dataValidation type="decimal" showInputMessage="1" showErrorMessage="1" error="ספרות בלבד" sqref="I45:I47 I49:I51 I53:I55 I57:I59 I61:I63 I66:I75 I98" xr:uid="{00000000-0002-0000-0000-000002000000}">
      <formula1>0</formula1>
      <formula2>9999999</formula2>
    </dataValidation>
    <dataValidation type="list" sqref="I68:I74 I86 I98:I101 I104:I106 I113 I132:I133 I152 I170 I175 I177 I181 I183:I184 I188 I190 P32:P41 P48:P126" xr:uid="{00000000-0002-0000-0000-000003000000}">
      <formula1>"0,5"</formula1>
    </dataValidation>
  </dataValidations>
  <pageMargins left="0" right="0" top="0" bottom="0" header="0" footer="0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Q112"/>
  <sheetViews>
    <sheetView showGridLines="0" rightToLeft="1" tabSelected="1" topLeftCell="A26" zoomScale="63" zoomScaleNormal="63" workbookViewId="0">
      <selection activeCell="O42" sqref="O42"/>
    </sheetView>
  </sheetViews>
  <sheetFormatPr defaultColWidth="19" defaultRowHeight="15.5" x14ac:dyDescent="0.3"/>
  <cols>
    <col min="1" max="1" width="2.08203125" style="62" customWidth="1"/>
    <col min="2" max="2" width="5.4140625" style="63" customWidth="1"/>
    <col min="3" max="3" width="5.75" style="62" customWidth="1"/>
    <col min="4" max="4" width="7.4140625" style="62" customWidth="1"/>
    <col min="5" max="5" width="4.75" style="62" customWidth="1"/>
    <col min="6" max="6" width="43.4140625" style="62" bestFit="1" customWidth="1"/>
    <col min="7" max="8" width="9.75" style="64" bestFit="1" customWidth="1"/>
    <col min="9" max="9" width="11.25" style="64" customWidth="1"/>
    <col min="10" max="10" width="5.4140625" style="133" customWidth="1"/>
    <col min="11" max="20" width="6.4140625" style="62" customWidth="1"/>
    <col min="21" max="25" width="19" style="62" customWidth="1"/>
    <col min="26" max="16384" width="19" style="62"/>
  </cols>
  <sheetData>
    <row r="1" spans="1:17" ht="5.25" customHeight="1" x14ac:dyDescent="0.3"/>
    <row r="2" spans="1:17" ht="31" customHeight="1" x14ac:dyDescent="0.3">
      <c r="B2" s="129" t="s">
        <v>389</v>
      </c>
      <c r="C2" s="129"/>
      <c r="D2" s="129"/>
      <c r="E2" s="115"/>
      <c r="F2" s="115"/>
      <c r="G2" s="77"/>
      <c r="H2" s="77"/>
      <c r="I2" s="77"/>
    </row>
    <row r="3" spans="1:17" ht="11.5" customHeight="1" x14ac:dyDescent="0.3">
      <c r="B3" s="78"/>
      <c r="C3" s="76"/>
      <c r="D3" s="76"/>
      <c r="E3" s="76"/>
      <c r="F3" s="76"/>
    </row>
    <row r="4" spans="1:17" ht="20" customHeight="1" x14ac:dyDescent="0.3">
      <c r="A4" s="37"/>
      <c r="B4" s="127">
        <v>1</v>
      </c>
      <c r="C4" s="108" t="s">
        <v>15</v>
      </c>
      <c r="D4" s="10"/>
      <c r="E4" s="10"/>
      <c r="F4" s="10"/>
      <c r="G4" s="118" t="s">
        <v>390</v>
      </c>
      <c r="H4" s="118" t="s">
        <v>391</v>
      </c>
      <c r="I4" s="118" t="s">
        <v>392</v>
      </c>
      <c r="K4" s="127"/>
      <c r="L4" s="108"/>
      <c r="M4" s="10"/>
      <c r="N4" s="10"/>
      <c r="O4" s="10"/>
      <c r="P4" s="10"/>
      <c r="Q4" s="72"/>
    </row>
    <row r="5" spans="1:17" ht="17.149999999999999" customHeight="1" x14ac:dyDescent="0.3">
      <c r="A5" s="37"/>
      <c r="B5" s="30">
        <v>1</v>
      </c>
      <c r="C5" s="99" t="s">
        <v>21</v>
      </c>
      <c r="D5" s="6"/>
      <c r="E5" s="6"/>
      <c r="F5" s="103"/>
      <c r="I5" s="47"/>
      <c r="J5" s="134"/>
      <c r="K5" s="6"/>
      <c r="L5" s="6"/>
      <c r="M5" s="6"/>
      <c r="N5" s="6"/>
      <c r="O5" s="6"/>
      <c r="P5" s="10"/>
      <c r="Q5" s="100"/>
    </row>
    <row r="6" spans="1:17" ht="18" customHeight="1" x14ac:dyDescent="0.3">
      <c r="A6" s="37"/>
      <c r="B6" s="30"/>
      <c r="C6" s="101">
        <v>1.1000000000000001</v>
      </c>
      <c r="D6" s="151" t="s">
        <v>24</v>
      </c>
      <c r="E6" s="6"/>
      <c r="F6" s="103"/>
      <c r="I6" s="47"/>
      <c r="J6" s="134"/>
      <c r="K6" s="30"/>
      <c r="L6" s="99"/>
      <c r="M6" s="6"/>
      <c r="N6" s="6"/>
      <c r="O6" s="6"/>
      <c r="P6" s="6"/>
      <c r="Q6" s="100"/>
    </row>
    <row r="7" spans="1:17" ht="17.5" customHeight="1" x14ac:dyDescent="0.35">
      <c r="A7" s="37"/>
      <c r="B7" s="30"/>
      <c r="C7" s="101"/>
      <c r="D7" s="101" t="s">
        <v>27</v>
      </c>
      <c r="E7" s="23" t="s">
        <v>28</v>
      </c>
      <c r="F7" s="103"/>
      <c r="G7" s="147">
        <v>130</v>
      </c>
      <c r="H7" s="147">
        <f>(G7+I7)/2</f>
        <v>130</v>
      </c>
      <c r="I7" s="147">
        <v>130</v>
      </c>
      <c r="J7" s="134"/>
      <c r="K7" s="30"/>
      <c r="L7" s="101"/>
      <c r="M7" s="140"/>
      <c r="N7" s="6"/>
      <c r="O7" s="137"/>
      <c r="P7" s="10"/>
      <c r="Q7" s="100"/>
    </row>
    <row r="8" spans="1:17" ht="17.5" customHeight="1" x14ac:dyDescent="0.3">
      <c r="A8" s="37"/>
      <c r="B8" s="30"/>
      <c r="C8" s="101"/>
      <c r="D8" s="101" t="s">
        <v>31</v>
      </c>
      <c r="E8" s="97" t="s">
        <v>32</v>
      </c>
      <c r="F8" s="103"/>
      <c r="G8" s="148">
        <v>60</v>
      </c>
      <c r="H8" s="148">
        <f>(G8+I8)/2</f>
        <v>60</v>
      </c>
      <c r="I8" s="148">
        <v>60</v>
      </c>
      <c r="J8" s="134"/>
      <c r="K8" s="30"/>
      <c r="L8" s="101"/>
      <c r="M8" s="101"/>
      <c r="N8" s="23"/>
      <c r="O8" s="137"/>
      <c r="P8" s="6"/>
      <c r="Q8" s="7"/>
    </row>
    <row r="9" spans="1:17" ht="17.149999999999999" customHeight="1" x14ac:dyDescent="0.3">
      <c r="B9" s="30"/>
      <c r="C9" s="101"/>
      <c r="D9" s="138" t="s">
        <v>35</v>
      </c>
      <c r="E9" s="97" t="s">
        <v>36</v>
      </c>
      <c r="F9" s="103"/>
      <c r="G9" s="148">
        <v>90</v>
      </c>
      <c r="H9" s="148">
        <f>(G9+I9)/2</f>
        <v>90</v>
      </c>
      <c r="I9" s="148">
        <v>90</v>
      </c>
      <c r="J9" s="134"/>
      <c r="K9" s="30"/>
      <c r="L9" s="101"/>
      <c r="M9" s="101"/>
      <c r="N9" s="23"/>
      <c r="O9" s="137"/>
      <c r="P9" s="6"/>
      <c r="Q9" s="7"/>
    </row>
    <row r="10" spans="1:17" ht="17.149999999999999" customHeight="1" x14ac:dyDescent="0.3">
      <c r="B10" s="6"/>
      <c r="C10" s="101">
        <v>1.2</v>
      </c>
      <c r="D10" s="151" t="s">
        <v>38</v>
      </c>
      <c r="E10" s="6"/>
      <c r="F10" s="103"/>
      <c r="I10" s="47"/>
      <c r="J10" s="134"/>
      <c r="K10" s="30"/>
      <c r="L10" s="101"/>
      <c r="M10" s="138"/>
      <c r="N10" s="23"/>
      <c r="O10" s="137"/>
      <c r="P10" s="6"/>
      <c r="Q10" s="7"/>
    </row>
    <row r="11" spans="1:17" ht="17.149999999999999" customHeight="1" x14ac:dyDescent="0.35">
      <c r="B11" s="6"/>
      <c r="C11" s="101"/>
      <c r="D11" s="101" t="s">
        <v>40</v>
      </c>
      <c r="E11" s="23" t="s">
        <v>28</v>
      </c>
      <c r="F11" s="18"/>
      <c r="G11" s="147">
        <v>60</v>
      </c>
      <c r="H11" s="147">
        <f>(G11+I11)/2</f>
        <v>60</v>
      </c>
      <c r="I11" s="147">
        <v>60</v>
      </c>
      <c r="J11" s="134"/>
      <c r="K11" s="6"/>
      <c r="L11" s="101"/>
      <c r="M11" s="140"/>
      <c r="N11" s="6"/>
      <c r="O11" s="137"/>
      <c r="P11" s="18"/>
      <c r="Q11" s="100"/>
    </row>
    <row r="12" spans="1:17" ht="17.149999999999999" customHeight="1" x14ac:dyDescent="0.3">
      <c r="B12" s="6"/>
      <c r="C12" s="101"/>
      <c r="D12" s="101" t="s">
        <v>42</v>
      </c>
      <c r="E12" s="97" t="s">
        <v>32</v>
      </c>
      <c r="F12" s="18"/>
      <c r="G12" s="148">
        <v>20</v>
      </c>
      <c r="H12" s="148">
        <f>(G12+I12)/2</f>
        <v>20</v>
      </c>
      <c r="I12" s="148">
        <v>20</v>
      </c>
      <c r="J12" s="134"/>
      <c r="K12" s="6"/>
      <c r="L12" s="101"/>
      <c r="M12" s="101"/>
      <c r="N12" s="23"/>
      <c r="O12" s="137"/>
      <c r="P12" s="18"/>
      <c r="Q12" s="7"/>
    </row>
    <row r="13" spans="1:17" ht="17.149999999999999" customHeight="1" x14ac:dyDescent="0.3">
      <c r="B13" s="6"/>
      <c r="C13" s="101"/>
      <c r="D13" s="101" t="s">
        <v>44</v>
      </c>
      <c r="E13" s="97" t="s">
        <v>36</v>
      </c>
      <c r="F13" s="103"/>
      <c r="G13" s="148">
        <v>30</v>
      </c>
      <c r="H13" s="148">
        <f>(G13+I13)/2</f>
        <v>30</v>
      </c>
      <c r="I13" s="148">
        <v>30</v>
      </c>
      <c r="J13" s="134"/>
      <c r="K13" s="6"/>
      <c r="L13" s="101"/>
      <c r="M13" s="101"/>
      <c r="N13" s="23"/>
      <c r="O13" s="137"/>
      <c r="P13" s="18"/>
      <c r="Q13" s="7"/>
    </row>
    <row r="14" spans="1:17" ht="17.149999999999999" customHeight="1" x14ac:dyDescent="0.3">
      <c r="B14" s="6"/>
      <c r="C14" s="101">
        <v>1.3</v>
      </c>
      <c r="D14" s="151" t="s">
        <v>46</v>
      </c>
      <c r="E14" s="6"/>
      <c r="F14" s="18"/>
      <c r="I14" s="47"/>
      <c r="J14" s="134"/>
      <c r="K14" s="6"/>
      <c r="L14" s="101"/>
      <c r="M14" s="101"/>
      <c r="N14" s="23"/>
      <c r="O14" s="137"/>
      <c r="P14" s="18"/>
      <c r="Q14" s="7"/>
    </row>
    <row r="15" spans="1:17" ht="17.149999999999999" customHeight="1" x14ac:dyDescent="0.35">
      <c r="B15" s="6"/>
      <c r="C15" s="101"/>
      <c r="D15" s="101" t="s">
        <v>48</v>
      </c>
      <c r="E15" s="23" t="s">
        <v>28</v>
      </c>
      <c r="F15" s="18"/>
      <c r="G15" s="147">
        <v>5</v>
      </c>
      <c r="H15" s="147">
        <f>(G15+I15)/2</f>
        <v>5</v>
      </c>
      <c r="I15" s="147">
        <v>5</v>
      </c>
      <c r="J15" s="134"/>
      <c r="K15" s="6"/>
      <c r="L15" s="101"/>
      <c r="M15" s="140"/>
      <c r="N15" s="6"/>
      <c r="O15" s="137"/>
      <c r="P15" s="18"/>
      <c r="Q15" s="100"/>
    </row>
    <row r="16" spans="1:17" ht="17.149999999999999" customHeight="1" x14ac:dyDescent="0.3">
      <c r="B16" s="6"/>
      <c r="C16" s="101"/>
      <c r="D16" s="101" t="s">
        <v>49</v>
      </c>
      <c r="E16" s="97" t="s">
        <v>32</v>
      </c>
      <c r="F16" s="6"/>
      <c r="G16" s="148">
        <v>8</v>
      </c>
      <c r="H16" s="148">
        <f>(G16+I16)/2</f>
        <v>8</v>
      </c>
      <c r="I16" s="148">
        <v>8</v>
      </c>
      <c r="J16" s="134"/>
      <c r="K16" s="6"/>
      <c r="L16" s="101"/>
      <c r="M16" s="101"/>
      <c r="N16" s="23"/>
      <c r="O16" s="137"/>
      <c r="P16" s="18"/>
      <c r="Q16" s="7"/>
    </row>
    <row r="17" spans="2:17" ht="17.149999999999999" customHeight="1" x14ac:dyDescent="0.3">
      <c r="B17" s="30"/>
      <c r="C17" s="101"/>
      <c r="D17" s="101" t="s">
        <v>50</v>
      </c>
      <c r="E17" s="97" t="s">
        <v>36</v>
      </c>
      <c r="F17" s="18"/>
      <c r="G17" s="148">
        <v>22</v>
      </c>
      <c r="H17" s="148">
        <f>(G17+I17)/2</f>
        <v>22</v>
      </c>
      <c r="I17" s="148">
        <v>22</v>
      </c>
      <c r="J17" s="134"/>
      <c r="K17" s="6"/>
      <c r="L17" s="101"/>
      <c r="M17" s="101"/>
      <c r="N17" s="23"/>
      <c r="O17" s="137"/>
      <c r="P17" s="18"/>
      <c r="Q17" s="7"/>
    </row>
    <row r="18" spans="2:17" ht="17.149999999999999" customHeight="1" x14ac:dyDescent="0.3">
      <c r="B18" s="30"/>
      <c r="C18" s="101">
        <v>1.4</v>
      </c>
      <c r="D18" s="151" t="s">
        <v>51</v>
      </c>
      <c r="E18" s="6"/>
      <c r="F18" s="18"/>
      <c r="I18" s="47"/>
      <c r="J18" s="134"/>
      <c r="K18" s="6"/>
      <c r="L18" s="101"/>
      <c r="M18" s="101"/>
      <c r="N18" s="23"/>
      <c r="O18" s="137"/>
      <c r="P18" s="18"/>
      <c r="Q18" s="7"/>
    </row>
    <row r="19" spans="2:17" ht="17.149999999999999" customHeight="1" x14ac:dyDescent="0.3">
      <c r="B19" s="30"/>
      <c r="C19" s="101"/>
      <c r="D19" s="101" t="s">
        <v>52</v>
      </c>
      <c r="E19" s="23" t="s">
        <v>28</v>
      </c>
      <c r="F19" s="18"/>
      <c r="G19" s="147">
        <v>5</v>
      </c>
      <c r="H19" s="147">
        <f>(G19+I19)/2</f>
        <v>5</v>
      </c>
      <c r="I19" s="147">
        <v>5</v>
      </c>
      <c r="J19" s="134"/>
      <c r="K19" s="6"/>
      <c r="L19" s="101"/>
      <c r="M19" s="101"/>
      <c r="N19" s="23"/>
      <c r="O19" s="137"/>
      <c r="P19" s="18"/>
      <c r="Q19" s="7"/>
    </row>
    <row r="20" spans="2:17" ht="17.149999999999999" customHeight="1" x14ac:dyDescent="0.3">
      <c r="B20" s="30"/>
      <c r="C20" s="101"/>
      <c r="D20" s="101" t="s">
        <v>54</v>
      </c>
      <c r="E20" s="97" t="s">
        <v>32</v>
      </c>
      <c r="F20" s="18"/>
      <c r="G20" s="148">
        <v>8</v>
      </c>
      <c r="H20" s="148">
        <f>(G20+I20)/2</f>
        <v>8</v>
      </c>
      <c r="I20" s="148">
        <v>8</v>
      </c>
      <c r="J20" s="134"/>
      <c r="K20" s="6"/>
      <c r="L20" s="101"/>
      <c r="M20" s="101"/>
      <c r="N20" s="23"/>
      <c r="O20" s="137"/>
      <c r="P20" s="18"/>
      <c r="Q20" s="7"/>
    </row>
    <row r="21" spans="2:17" ht="17.149999999999999" customHeight="1" x14ac:dyDescent="0.3">
      <c r="B21" s="30"/>
      <c r="C21" s="101"/>
      <c r="D21" s="101" t="s">
        <v>57</v>
      </c>
      <c r="E21" s="97" t="s">
        <v>36</v>
      </c>
      <c r="F21" s="18"/>
      <c r="G21" s="148">
        <v>22</v>
      </c>
      <c r="H21" s="148">
        <f>(G21+I21)/2</f>
        <v>22</v>
      </c>
      <c r="I21" s="148">
        <v>22</v>
      </c>
      <c r="J21" s="134"/>
      <c r="K21" s="6"/>
      <c r="L21" s="101"/>
      <c r="M21" s="101"/>
      <c r="N21" s="23"/>
      <c r="O21" s="137"/>
      <c r="P21" s="18"/>
      <c r="Q21" s="7"/>
    </row>
    <row r="22" spans="2:17" ht="17.149999999999999" customHeight="1" x14ac:dyDescent="0.3">
      <c r="B22" s="30"/>
      <c r="C22" s="101">
        <v>1.5</v>
      </c>
      <c r="D22" s="151" t="s">
        <v>59</v>
      </c>
      <c r="E22" s="6"/>
      <c r="F22" s="18"/>
      <c r="I22" s="47"/>
      <c r="J22" s="134"/>
      <c r="K22" s="6"/>
      <c r="L22" s="101"/>
      <c r="M22" s="101"/>
      <c r="N22" s="23"/>
      <c r="O22" s="137"/>
      <c r="P22" s="18"/>
      <c r="Q22" s="7"/>
    </row>
    <row r="23" spans="2:17" ht="17.149999999999999" customHeight="1" x14ac:dyDescent="0.3">
      <c r="B23" s="30"/>
      <c r="C23" s="101"/>
      <c r="D23" s="101" t="s">
        <v>61</v>
      </c>
      <c r="E23" s="23" t="s">
        <v>28</v>
      </c>
      <c r="F23" s="18"/>
      <c r="G23" s="147">
        <v>5</v>
      </c>
      <c r="H23" s="147">
        <f>(G23+I23)/2</f>
        <v>5</v>
      </c>
      <c r="I23" s="147">
        <v>5</v>
      </c>
      <c r="J23" s="134"/>
      <c r="K23" s="6"/>
      <c r="L23" s="101"/>
      <c r="M23" s="101"/>
      <c r="N23" s="23"/>
      <c r="O23" s="137"/>
      <c r="P23" s="18"/>
      <c r="Q23" s="7"/>
    </row>
    <row r="24" spans="2:17" ht="17.149999999999999" customHeight="1" x14ac:dyDescent="0.3">
      <c r="B24" s="30"/>
      <c r="C24" s="101"/>
      <c r="D24" s="101" t="s">
        <v>63</v>
      </c>
      <c r="E24" s="97" t="s">
        <v>32</v>
      </c>
      <c r="F24" s="18"/>
      <c r="G24" s="148">
        <v>8</v>
      </c>
      <c r="H24" s="148">
        <f>(G24+I24)/2</f>
        <v>8</v>
      </c>
      <c r="I24" s="148">
        <v>8</v>
      </c>
      <c r="J24" s="134"/>
      <c r="K24" s="6"/>
      <c r="L24" s="101"/>
      <c r="M24" s="101"/>
      <c r="N24" s="23"/>
      <c r="O24" s="137"/>
      <c r="P24" s="18"/>
      <c r="Q24" s="7"/>
    </row>
    <row r="25" spans="2:17" ht="17.149999999999999" customHeight="1" x14ac:dyDescent="0.3">
      <c r="B25" s="30"/>
      <c r="C25" s="101"/>
      <c r="D25" s="101" t="s">
        <v>65</v>
      </c>
      <c r="E25" s="97" t="s">
        <v>36</v>
      </c>
      <c r="F25" s="18"/>
      <c r="G25" s="148">
        <v>22</v>
      </c>
      <c r="H25" s="148">
        <f>(G25+I25)/2</f>
        <v>22</v>
      </c>
      <c r="I25" s="148">
        <v>22</v>
      </c>
      <c r="J25" s="134"/>
      <c r="K25" s="6"/>
      <c r="L25" s="101"/>
      <c r="M25" s="101"/>
      <c r="N25" s="23"/>
      <c r="O25" s="137"/>
      <c r="P25" s="18"/>
      <c r="Q25" s="7"/>
    </row>
    <row r="26" spans="2:17" ht="17.149999999999999" customHeight="1" x14ac:dyDescent="0.3">
      <c r="B26" s="30"/>
      <c r="C26" s="101"/>
      <c r="D26" s="101"/>
      <c r="E26" s="97"/>
      <c r="F26" s="18"/>
      <c r="G26" s="153"/>
      <c r="H26" s="153"/>
      <c r="I26" s="153"/>
      <c r="J26" s="134"/>
      <c r="K26" s="6"/>
      <c r="L26" s="101"/>
      <c r="M26" s="101"/>
      <c r="N26" s="23"/>
      <c r="O26" s="137"/>
      <c r="P26" s="18"/>
      <c r="Q26" s="7"/>
    </row>
    <row r="27" spans="2:17" ht="17.149999999999999" customHeight="1" x14ac:dyDescent="0.3">
      <c r="B27" s="30">
        <v>2</v>
      </c>
      <c r="C27" s="156" t="s">
        <v>68</v>
      </c>
      <c r="D27" s="156"/>
      <c r="E27" s="6"/>
      <c r="F27" s="6"/>
      <c r="G27" s="10"/>
      <c r="H27" s="10"/>
      <c r="I27" s="10"/>
      <c r="J27" s="134"/>
      <c r="K27" s="6"/>
      <c r="L27" s="101"/>
      <c r="M27" s="101"/>
      <c r="N27" s="23"/>
      <c r="O27" s="137"/>
      <c r="P27" s="18"/>
      <c r="Q27" s="7"/>
    </row>
    <row r="28" spans="2:17" ht="17.149999999999999" customHeight="1" x14ac:dyDescent="0.3">
      <c r="B28" s="30"/>
      <c r="C28" s="327" t="s">
        <v>70</v>
      </c>
      <c r="D28" s="23" t="s">
        <v>71</v>
      </c>
      <c r="E28" s="6"/>
      <c r="F28" s="18"/>
      <c r="G28" s="328">
        <v>35</v>
      </c>
      <c r="H28" s="328">
        <f t="shared" ref="H28:H38" si="0">(G28+I28)/2</f>
        <v>35</v>
      </c>
      <c r="I28" s="328">
        <v>35</v>
      </c>
      <c r="J28" s="134"/>
      <c r="K28" s="30"/>
      <c r="L28" s="101"/>
      <c r="M28" s="101"/>
      <c r="N28" s="23"/>
      <c r="O28" s="137"/>
      <c r="P28" s="18"/>
      <c r="Q28" s="7"/>
    </row>
    <row r="29" spans="2:17" ht="17.149999999999999" customHeight="1" x14ac:dyDescent="0.3">
      <c r="B29" s="30"/>
      <c r="C29" s="327" t="s">
        <v>75</v>
      </c>
      <c r="D29" s="23" t="s">
        <v>26</v>
      </c>
      <c r="E29" s="6"/>
      <c r="F29" s="18"/>
      <c r="G29" s="328">
        <v>125</v>
      </c>
      <c r="H29" s="328">
        <f t="shared" si="0"/>
        <v>125</v>
      </c>
      <c r="I29" s="328">
        <v>125</v>
      </c>
      <c r="J29" s="134"/>
      <c r="K29" s="30"/>
      <c r="L29" s="101"/>
      <c r="M29" s="103"/>
      <c r="N29" s="103"/>
      <c r="O29" s="103"/>
      <c r="P29" s="18"/>
      <c r="Q29" s="7"/>
    </row>
    <row r="30" spans="2:17" ht="17.149999999999999" customHeight="1" x14ac:dyDescent="0.3">
      <c r="B30" s="30"/>
      <c r="C30" s="327" t="s">
        <v>73</v>
      </c>
      <c r="D30" s="23" t="s">
        <v>23</v>
      </c>
      <c r="E30" s="6"/>
      <c r="F30" s="18"/>
      <c r="G30" s="328">
        <v>66</v>
      </c>
      <c r="H30" s="328">
        <f t="shared" si="0"/>
        <v>66</v>
      </c>
      <c r="I30" s="328">
        <v>66</v>
      </c>
      <c r="J30" s="134"/>
      <c r="K30" s="30"/>
      <c r="L30" s="104"/>
      <c r="M30" s="6"/>
      <c r="N30" s="6"/>
      <c r="O30" s="6"/>
      <c r="P30" s="6"/>
      <c r="Q30" s="100"/>
    </row>
    <row r="31" spans="2:17" ht="17.149999999999999" customHeight="1" x14ac:dyDescent="0.3">
      <c r="B31" s="30"/>
      <c r="C31" s="327" t="s">
        <v>77</v>
      </c>
      <c r="D31" s="23" t="s">
        <v>30</v>
      </c>
      <c r="E31" s="6"/>
      <c r="F31" s="18"/>
      <c r="G31" s="328">
        <v>200</v>
      </c>
      <c r="H31" s="328">
        <f t="shared" si="0"/>
        <v>200</v>
      </c>
      <c r="I31" s="328">
        <v>200</v>
      </c>
      <c r="J31" s="134"/>
      <c r="K31" s="30"/>
      <c r="L31" s="101"/>
      <c r="M31" s="18"/>
      <c r="N31" s="6"/>
      <c r="O31" s="6"/>
      <c r="P31" s="6"/>
      <c r="Q31" s="7"/>
    </row>
    <row r="32" spans="2:17" ht="17.149999999999999" customHeight="1" x14ac:dyDescent="0.3">
      <c r="B32" s="30"/>
      <c r="C32" s="327" t="s">
        <v>79</v>
      </c>
      <c r="D32" s="23" t="s">
        <v>34</v>
      </c>
      <c r="E32" s="6"/>
      <c r="F32" s="18"/>
      <c r="G32" s="328">
        <v>90</v>
      </c>
      <c r="H32" s="328">
        <f t="shared" si="0"/>
        <v>90</v>
      </c>
      <c r="I32" s="328">
        <v>90</v>
      </c>
      <c r="J32" s="134"/>
      <c r="K32" s="30"/>
      <c r="L32" s="101"/>
      <c r="M32" s="18"/>
      <c r="N32" s="6"/>
      <c r="O32" s="6"/>
      <c r="P32" s="6"/>
      <c r="Q32" s="7"/>
    </row>
    <row r="33" spans="2:17" ht="17.149999999999999" customHeight="1" x14ac:dyDescent="0.3">
      <c r="B33" s="30"/>
      <c r="C33" s="327" t="s">
        <v>81</v>
      </c>
      <c r="D33" s="23" t="s">
        <v>82</v>
      </c>
      <c r="E33" s="6"/>
      <c r="F33" s="97"/>
      <c r="G33" s="328">
        <v>50</v>
      </c>
      <c r="H33" s="328">
        <f t="shared" si="0"/>
        <v>50</v>
      </c>
      <c r="I33" s="328">
        <v>50</v>
      </c>
      <c r="J33" s="134"/>
      <c r="K33" s="30"/>
      <c r="L33" s="101"/>
      <c r="M33" s="18"/>
      <c r="N33" s="6"/>
      <c r="O33" s="6"/>
      <c r="P33" s="6"/>
      <c r="Q33" s="7"/>
    </row>
    <row r="34" spans="2:17" ht="17.149999999999999" customHeight="1" x14ac:dyDescent="0.3">
      <c r="B34" s="30"/>
      <c r="C34" s="327" t="s">
        <v>84</v>
      </c>
      <c r="D34" s="23" t="s">
        <v>39</v>
      </c>
      <c r="E34" s="6"/>
      <c r="F34" s="97"/>
      <c r="G34" s="328">
        <v>40</v>
      </c>
      <c r="H34" s="328">
        <f t="shared" si="0"/>
        <v>40</v>
      </c>
      <c r="I34" s="328">
        <v>40</v>
      </c>
      <c r="J34" s="134"/>
      <c r="K34" s="30"/>
      <c r="L34" s="101"/>
      <c r="M34" s="18"/>
      <c r="N34" s="6"/>
      <c r="O34" s="6"/>
      <c r="P34" s="6"/>
      <c r="Q34" s="7"/>
    </row>
    <row r="35" spans="2:17" ht="17.149999999999999" customHeight="1" x14ac:dyDescent="0.3">
      <c r="B35" s="30"/>
      <c r="C35" s="327" t="s">
        <v>86</v>
      </c>
      <c r="D35" s="23" t="s">
        <v>41</v>
      </c>
      <c r="E35" s="6"/>
      <c r="F35" s="97"/>
      <c r="G35" s="328">
        <v>45</v>
      </c>
      <c r="H35" s="328">
        <f t="shared" si="0"/>
        <v>45</v>
      </c>
      <c r="I35" s="328">
        <v>45</v>
      </c>
      <c r="J35" s="134"/>
      <c r="K35" s="30"/>
      <c r="L35" s="101"/>
      <c r="M35" s="97"/>
      <c r="N35" s="6"/>
      <c r="O35" s="6"/>
      <c r="P35" s="6"/>
      <c r="Q35" s="7"/>
    </row>
    <row r="36" spans="2:17" ht="17.149999999999999" customHeight="1" x14ac:dyDescent="0.3">
      <c r="B36" s="30"/>
      <c r="C36" s="327" t="s">
        <v>88</v>
      </c>
      <c r="D36" s="97" t="s">
        <v>43</v>
      </c>
      <c r="E36" s="6"/>
      <c r="F36" s="97"/>
      <c r="G36" s="328">
        <v>30</v>
      </c>
      <c r="H36" s="328">
        <f t="shared" si="0"/>
        <v>30</v>
      </c>
      <c r="I36" s="328">
        <v>30</v>
      </c>
      <c r="J36" s="134"/>
      <c r="K36" s="30"/>
      <c r="L36" s="101"/>
      <c r="M36" s="97"/>
      <c r="N36" s="6"/>
      <c r="O36" s="6"/>
      <c r="P36" s="6"/>
      <c r="Q36" s="7"/>
    </row>
    <row r="37" spans="2:17" ht="17.149999999999999" customHeight="1" x14ac:dyDescent="0.3">
      <c r="B37" s="30"/>
      <c r="C37" s="327" t="s">
        <v>90</v>
      </c>
      <c r="D37" s="97" t="s">
        <v>45</v>
      </c>
      <c r="E37" s="6"/>
      <c r="F37" s="97"/>
      <c r="G37" s="328">
        <v>35</v>
      </c>
      <c r="H37" s="328">
        <f t="shared" si="0"/>
        <v>35</v>
      </c>
      <c r="I37" s="328">
        <v>35</v>
      </c>
      <c r="J37" s="134"/>
      <c r="K37" s="30"/>
      <c r="L37" s="101"/>
      <c r="M37" s="97"/>
      <c r="N37" s="6"/>
      <c r="O37" s="6"/>
      <c r="P37" s="6"/>
      <c r="Q37" s="7"/>
    </row>
    <row r="38" spans="2:17" ht="17.149999999999999" customHeight="1" x14ac:dyDescent="0.3">
      <c r="B38" s="30"/>
      <c r="C38" s="327" t="s">
        <v>92</v>
      </c>
      <c r="D38" s="97" t="s">
        <v>47</v>
      </c>
      <c r="E38" s="6"/>
      <c r="F38" s="97"/>
      <c r="G38" s="328">
        <v>200</v>
      </c>
      <c r="H38" s="328">
        <f t="shared" si="0"/>
        <v>200</v>
      </c>
      <c r="I38" s="328">
        <v>200</v>
      </c>
      <c r="J38" s="134"/>
      <c r="K38" s="30"/>
      <c r="L38" s="101"/>
      <c r="M38" s="97"/>
      <c r="N38" s="6"/>
      <c r="O38" s="6"/>
      <c r="P38" s="6"/>
      <c r="Q38" s="7"/>
    </row>
    <row r="39" spans="2:17" s="330" customFormat="1" ht="17.149999999999999" customHeight="1" x14ac:dyDescent="0.3">
      <c r="B39" s="331"/>
      <c r="C39" s="332"/>
      <c r="D39" s="333"/>
      <c r="E39" s="334"/>
      <c r="F39" s="333"/>
      <c r="G39" s="335"/>
      <c r="H39" s="335"/>
      <c r="I39" s="335"/>
      <c r="J39" s="336"/>
      <c r="K39" s="331"/>
      <c r="L39" s="337"/>
      <c r="M39" s="333"/>
      <c r="N39" s="334"/>
      <c r="O39" s="334"/>
      <c r="P39" s="334"/>
      <c r="Q39" s="338"/>
    </row>
    <row r="40" spans="2:17" ht="17.149999999999999" customHeight="1" x14ac:dyDescent="0.3">
      <c r="B40" s="127">
        <v>2</v>
      </c>
      <c r="C40" s="108" t="s">
        <v>112</v>
      </c>
      <c r="D40" s="5"/>
      <c r="E40" s="5"/>
      <c r="F40" s="5"/>
      <c r="J40" s="134"/>
      <c r="K40" s="30"/>
      <c r="L40" s="101"/>
      <c r="M40" s="97"/>
      <c r="N40" s="6"/>
      <c r="O40" s="6"/>
      <c r="P40" s="6"/>
      <c r="Q40" s="7"/>
    </row>
    <row r="41" spans="2:17" ht="17.149999999999999" customHeight="1" x14ac:dyDescent="0.3">
      <c r="B41" s="30">
        <v>2</v>
      </c>
      <c r="C41" s="104" t="s">
        <v>393</v>
      </c>
      <c r="D41" s="5"/>
      <c r="E41" s="5"/>
      <c r="F41" s="5"/>
      <c r="G41" s="29"/>
      <c r="H41" s="29"/>
      <c r="I41" s="29"/>
      <c r="J41" s="134"/>
      <c r="K41" s="30"/>
      <c r="L41" s="101"/>
      <c r="M41" s="97"/>
      <c r="N41" s="6"/>
      <c r="O41" s="6"/>
      <c r="P41" s="6"/>
      <c r="Q41" s="6"/>
    </row>
    <row r="42" spans="2:17" ht="17.149999999999999" customHeight="1" x14ac:dyDescent="0.3">
      <c r="B42" s="30">
        <v>2</v>
      </c>
      <c r="C42" s="151" t="s">
        <v>127</v>
      </c>
      <c r="D42" s="122" t="s">
        <v>127</v>
      </c>
      <c r="E42" s="97"/>
      <c r="F42" s="6"/>
      <c r="G42" s="18"/>
      <c r="H42" s="18"/>
      <c r="J42" s="134"/>
      <c r="K42" s="30"/>
      <c r="L42" s="146"/>
      <c r="M42" s="97"/>
      <c r="N42" s="6"/>
      <c r="O42" s="6"/>
      <c r="P42" s="6"/>
      <c r="Q42" s="7"/>
    </row>
    <row r="43" spans="2:17" ht="17.149999999999999" customHeight="1" x14ac:dyDescent="0.3">
      <c r="C43" s="30"/>
      <c r="D43" s="66" t="s">
        <v>394</v>
      </c>
      <c r="E43" s="97" t="s">
        <v>133</v>
      </c>
      <c r="F43" s="6"/>
      <c r="G43" s="121">
        <v>5</v>
      </c>
      <c r="H43" s="121">
        <f>(G43+I43)/2</f>
        <v>5</v>
      </c>
      <c r="I43" s="121">
        <v>5</v>
      </c>
      <c r="J43" s="134"/>
      <c r="K43" s="30"/>
      <c r="N43" s="6"/>
      <c r="O43" s="18"/>
      <c r="P43" s="5"/>
      <c r="Q43" s="7"/>
    </row>
    <row r="44" spans="2:17" ht="17.149999999999999" customHeight="1" x14ac:dyDescent="0.3">
      <c r="J44" s="134"/>
    </row>
    <row r="45" spans="2:17" ht="17.149999999999999" customHeight="1" x14ac:dyDescent="0.3">
      <c r="B45" s="127">
        <v>4</v>
      </c>
      <c r="C45" s="108" t="s">
        <v>303</v>
      </c>
      <c r="D45" s="23"/>
      <c r="E45" s="23"/>
      <c r="F45" s="23"/>
      <c r="J45" s="134"/>
    </row>
    <row r="46" spans="2:17" ht="17.149999999999999" customHeight="1" x14ac:dyDescent="0.3">
      <c r="B46" s="30">
        <v>1</v>
      </c>
      <c r="C46" s="97" t="s">
        <v>304</v>
      </c>
      <c r="D46" s="23"/>
      <c r="E46" s="23"/>
      <c r="F46" s="23"/>
      <c r="G46" s="70">
        <v>3</v>
      </c>
      <c r="H46" s="70">
        <f>(G46+I46)/2</f>
        <v>3</v>
      </c>
      <c r="I46" s="70">
        <v>3</v>
      </c>
      <c r="J46" s="134"/>
    </row>
    <row r="47" spans="2:17" ht="17.149999999999999" customHeight="1" x14ac:dyDescent="0.3">
      <c r="B47" s="30">
        <v>2</v>
      </c>
      <c r="C47" s="107" t="s">
        <v>305</v>
      </c>
      <c r="D47" s="23"/>
      <c r="E47" s="23"/>
      <c r="F47" s="23"/>
      <c r="J47" s="134"/>
    </row>
    <row r="48" spans="2:17" ht="17.149999999999999" customHeight="1" x14ac:dyDescent="0.3">
      <c r="B48" s="30"/>
      <c r="C48" s="97">
        <v>2.1</v>
      </c>
      <c r="D48" s="23" t="s">
        <v>306</v>
      </c>
      <c r="E48" s="23"/>
      <c r="F48" s="23"/>
      <c r="G48" s="48">
        <v>3</v>
      </c>
      <c r="H48" s="48">
        <f>(G48+I48)/2</f>
        <v>3</v>
      </c>
      <c r="I48" s="48">
        <v>3</v>
      </c>
      <c r="J48" s="134"/>
    </row>
    <row r="49" spans="2:10" ht="18" customHeight="1" x14ac:dyDescent="0.3">
      <c r="B49" s="30"/>
      <c r="C49" s="97">
        <v>2.2000000000000002</v>
      </c>
      <c r="D49" s="23" t="s">
        <v>307</v>
      </c>
      <c r="E49" s="23"/>
      <c r="F49" s="23"/>
      <c r="G49" s="48">
        <v>6</v>
      </c>
      <c r="H49" s="48">
        <f>(G49+I49)/2</f>
        <v>6</v>
      </c>
      <c r="I49" s="48">
        <v>6</v>
      </c>
      <c r="J49" s="134"/>
    </row>
    <row r="50" spans="2:10" ht="17.5" customHeight="1" x14ac:dyDescent="0.3">
      <c r="B50" s="30"/>
      <c r="C50" s="22"/>
      <c r="D50" s="18"/>
      <c r="E50" s="18"/>
      <c r="F50" s="18"/>
      <c r="G50" s="47"/>
      <c r="H50" s="47"/>
      <c r="I50" s="47"/>
      <c r="J50" s="134"/>
    </row>
    <row r="51" spans="2:10" ht="17.5" customHeight="1" x14ac:dyDescent="0.3">
      <c r="B51" s="127">
        <v>5</v>
      </c>
      <c r="C51" s="108" t="s">
        <v>309</v>
      </c>
      <c r="D51" s="1"/>
      <c r="E51" s="1"/>
      <c r="F51" s="1"/>
      <c r="J51" s="134"/>
    </row>
    <row r="52" spans="2:10" ht="20.5" customHeight="1" x14ac:dyDescent="0.3">
      <c r="B52" s="30">
        <v>4</v>
      </c>
      <c r="C52" s="98" t="s">
        <v>314</v>
      </c>
      <c r="D52" s="2"/>
      <c r="E52" s="2"/>
      <c r="F52" s="2"/>
      <c r="G52" s="48">
        <v>30</v>
      </c>
      <c r="H52" s="48">
        <f>(G52+I52)/2</f>
        <v>30</v>
      </c>
      <c r="I52" s="48">
        <v>30</v>
      </c>
      <c r="J52" s="134"/>
    </row>
    <row r="53" spans="2:10" ht="16.5" customHeight="1" x14ac:dyDescent="0.3">
      <c r="B53" s="127">
        <v>7</v>
      </c>
      <c r="C53" s="304" t="s">
        <v>337</v>
      </c>
      <c r="D53" s="2"/>
      <c r="E53" s="2"/>
      <c r="F53" s="2"/>
      <c r="G53" s="47"/>
      <c r="H53" s="47"/>
      <c r="I53" s="47"/>
      <c r="J53" s="134"/>
    </row>
    <row r="54" spans="2:10" ht="16.5" customHeight="1" x14ac:dyDescent="0.3">
      <c r="B54" s="305">
        <v>1</v>
      </c>
      <c r="C54" s="288" t="s">
        <v>338</v>
      </c>
      <c r="D54" s="5"/>
      <c r="E54" s="5"/>
      <c r="F54" s="5"/>
      <c r="J54" s="134"/>
    </row>
    <row r="55" spans="2:10" ht="16.5" customHeight="1" x14ac:dyDescent="0.3">
      <c r="B55" s="30"/>
      <c r="C55" s="23" t="s">
        <v>70</v>
      </c>
      <c r="D55" s="183" t="s">
        <v>339</v>
      </c>
      <c r="E55" s="18"/>
      <c r="F55" s="18"/>
      <c r="G55" s="175">
        <v>3</v>
      </c>
      <c r="H55" s="175">
        <f>(G55+I55)/2</f>
        <v>5</v>
      </c>
      <c r="I55" s="175">
        <v>7</v>
      </c>
      <c r="J55" s="134"/>
    </row>
    <row r="56" spans="2:10" ht="16.5" customHeight="1" x14ac:dyDescent="0.3">
      <c r="B56" s="30"/>
      <c r="C56" s="23" t="s">
        <v>73</v>
      </c>
      <c r="D56" s="183" t="s">
        <v>341</v>
      </c>
      <c r="E56" s="18"/>
      <c r="F56" s="18"/>
      <c r="G56" s="175">
        <v>2</v>
      </c>
      <c r="H56" s="175">
        <f>(G56+I56)/2</f>
        <v>5</v>
      </c>
      <c r="I56" s="175">
        <v>8</v>
      </c>
      <c r="J56" s="134"/>
    </row>
    <row r="57" spans="2:10" ht="20" customHeight="1" x14ac:dyDescent="0.3">
      <c r="B57" s="30"/>
      <c r="C57" s="23" t="s">
        <v>75</v>
      </c>
      <c r="D57" s="183" t="s">
        <v>342</v>
      </c>
      <c r="E57" s="18"/>
      <c r="F57" s="18"/>
      <c r="G57" s="175">
        <v>1</v>
      </c>
      <c r="H57" s="175">
        <f>(G57+I57)/2</f>
        <v>3</v>
      </c>
      <c r="I57" s="175">
        <v>5</v>
      </c>
      <c r="J57" s="134"/>
    </row>
    <row r="58" spans="2:10" ht="16.5" customHeight="1" x14ac:dyDescent="0.35">
      <c r="B58" s="24"/>
      <c r="C58" s="177"/>
      <c r="D58" s="25"/>
      <c r="E58" s="25"/>
      <c r="F58" s="25"/>
      <c r="G58" s="159"/>
      <c r="H58" s="159"/>
      <c r="I58" s="159"/>
      <c r="J58" s="134"/>
    </row>
    <row r="59" spans="2:10" ht="16.5" customHeight="1" x14ac:dyDescent="0.3">
      <c r="B59" s="305">
        <v>2</v>
      </c>
      <c r="C59" s="288" t="s">
        <v>343</v>
      </c>
      <c r="D59" s="18"/>
      <c r="E59" s="18"/>
      <c r="F59" s="18"/>
      <c r="G59" s="159"/>
      <c r="H59" s="159"/>
      <c r="I59" s="159"/>
      <c r="J59" s="134"/>
    </row>
    <row r="60" spans="2:10" ht="16.5" customHeight="1" x14ac:dyDescent="0.35">
      <c r="B60" s="21"/>
      <c r="C60" s="23" t="s">
        <v>139</v>
      </c>
      <c r="D60" s="190" t="s">
        <v>344</v>
      </c>
      <c r="E60" s="23"/>
      <c r="F60" s="23"/>
      <c r="G60" s="194">
        <v>1000</v>
      </c>
      <c r="H60" s="194">
        <f>(G60+I60)/2</f>
        <v>1945</v>
      </c>
      <c r="I60" s="194">
        <v>2890</v>
      </c>
      <c r="J60" s="134"/>
    </row>
    <row r="61" spans="2:10" ht="16.5" customHeight="1" x14ac:dyDescent="0.35">
      <c r="B61" s="21"/>
      <c r="C61" s="23" t="s">
        <v>143</v>
      </c>
      <c r="D61" s="190" t="s">
        <v>345</v>
      </c>
      <c r="E61" s="23"/>
      <c r="F61" s="23"/>
      <c r="G61" s="329">
        <v>100</v>
      </c>
      <c r="H61" s="194">
        <f>(G61+I61)/2</f>
        <v>438.5</v>
      </c>
      <c r="I61" s="329">
        <v>777</v>
      </c>
      <c r="J61" s="134"/>
    </row>
    <row r="62" spans="2:10" ht="16.5" customHeight="1" x14ac:dyDescent="0.35">
      <c r="B62" s="21"/>
      <c r="C62" s="23" t="s">
        <v>147</v>
      </c>
      <c r="D62" s="190" t="s">
        <v>347</v>
      </c>
      <c r="E62" s="23"/>
      <c r="F62" s="23"/>
      <c r="G62" s="195">
        <v>1</v>
      </c>
      <c r="H62" s="196">
        <f>(G62+I62)/2</f>
        <v>5</v>
      </c>
      <c r="I62" s="195">
        <v>9</v>
      </c>
    </row>
    <row r="63" spans="2:10" ht="18" customHeight="1" x14ac:dyDescent="0.35">
      <c r="B63" s="191"/>
      <c r="C63" s="306" t="s">
        <v>348</v>
      </c>
      <c r="D63" s="192" t="s">
        <v>349</v>
      </c>
      <c r="G63" s="329">
        <v>1</v>
      </c>
      <c r="H63" s="197">
        <f>(G63+I63)/2</f>
        <v>5</v>
      </c>
      <c r="I63" s="329">
        <v>9</v>
      </c>
    </row>
    <row r="64" spans="2:10" ht="20" customHeight="1" x14ac:dyDescent="0.35">
      <c r="B64" s="191"/>
      <c r="C64" s="306" t="s">
        <v>350</v>
      </c>
      <c r="D64" s="192" t="s">
        <v>351</v>
      </c>
      <c r="G64" s="329">
        <v>1</v>
      </c>
      <c r="H64" s="197">
        <f>(G64+I64)/2</f>
        <v>5</v>
      </c>
      <c r="I64" s="329">
        <v>9</v>
      </c>
    </row>
    <row r="65" spans="2:10" ht="16.5" customHeight="1" x14ac:dyDescent="0.25">
      <c r="B65" s="193"/>
      <c r="C65" s="193"/>
      <c r="G65" s="198"/>
      <c r="H65" s="198"/>
      <c r="I65" s="198"/>
      <c r="J65" s="135"/>
    </row>
    <row r="66" spans="2:10" ht="16.5" customHeight="1" x14ac:dyDescent="0.25">
      <c r="B66" s="307">
        <v>3</v>
      </c>
      <c r="C66" s="300" t="s">
        <v>352</v>
      </c>
      <c r="G66" s="198"/>
      <c r="H66" s="198"/>
      <c r="I66" s="198"/>
      <c r="J66" s="135"/>
    </row>
    <row r="67" spans="2:10" ht="16.5" customHeight="1" x14ac:dyDescent="0.35">
      <c r="B67" s="191"/>
      <c r="C67" s="306" t="s">
        <v>353</v>
      </c>
      <c r="D67" s="192" t="s">
        <v>354</v>
      </c>
      <c r="G67" s="329">
        <v>1</v>
      </c>
      <c r="H67" s="197">
        <f>(G67+I67)/2</f>
        <v>5</v>
      </c>
      <c r="I67" s="329">
        <v>9</v>
      </c>
      <c r="J67" s="135"/>
    </row>
    <row r="68" spans="2:10" ht="16.5" customHeight="1" x14ac:dyDescent="0.35">
      <c r="B68" s="191"/>
      <c r="C68" s="306" t="s">
        <v>355</v>
      </c>
      <c r="D68" s="192" t="s">
        <v>356</v>
      </c>
      <c r="G68" s="329">
        <v>1</v>
      </c>
      <c r="H68" s="197">
        <f>(G68+I68)/2</f>
        <v>5</v>
      </c>
      <c r="I68" s="329">
        <v>9</v>
      </c>
      <c r="J68" s="135"/>
    </row>
    <row r="69" spans="2:10" ht="16.5" customHeight="1" x14ac:dyDescent="0.35">
      <c r="B69" s="191"/>
      <c r="C69" s="306" t="s">
        <v>357</v>
      </c>
      <c r="D69" s="192" t="s">
        <v>358</v>
      </c>
      <c r="G69" s="199">
        <v>-0.06</v>
      </c>
      <c r="H69" s="200">
        <f>(G69+I69)/2</f>
        <v>0.27</v>
      </c>
      <c r="I69" s="200">
        <v>0.6</v>
      </c>
      <c r="J69" s="135"/>
    </row>
    <row r="70" spans="2:10" ht="16.5" customHeight="1" x14ac:dyDescent="0.35">
      <c r="B70" s="191"/>
      <c r="C70" s="306" t="s">
        <v>359</v>
      </c>
      <c r="D70" s="192" t="s">
        <v>360</v>
      </c>
      <c r="G70" s="199">
        <v>-0.44</v>
      </c>
      <c r="H70" s="200">
        <f>(G70+I70)/2</f>
        <v>7.9999999999999988E-2</v>
      </c>
      <c r="I70" s="200">
        <v>0.6</v>
      </c>
      <c r="J70" s="135"/>
    </row>
    <row r="71" spans="2:10" ht="16.5" customHeight="1" x14ac:dyDescent="0.35">
      <c r="B71" s="191"/>
      <c r="C71" s="306" t="s">
        <v>361</v>
      </c>
      <c r="D71" s="192" t="s">
        <v>362</v>
      </c>
      <c r="G71" s="199">
        <v>0.34</v>
      </c>
      <c r="H71" s="200">
        <f>(G71+I71)/2</f>
        <v>0.47</v>
      </c>
      <c r="I71" s="200">
        <v>0.6</v>
      </c>
      <c r="J71" s="135"/>
    </row>
    <row r="72" spans="2:10" x14ac:dyDescent="0.3">
      <c r="J72" s="135"/>
    </row>
    <row r="73" spans="2:10" x14ac:dyDescent="0.3">
      <c r="J73" s="135"/>
    </row>
    <row r="74" spans="2:10" x14ac:dyDescent="0.3">
      <c r="J74" s="135"/>
    </row>
    <row r="75" spans="2:10" x14ac:dyDescent="0.3">
      <c r="J75" s="135"/>
    </row>
    <row r="76" spans="2:10" x14ac:dyDescent="0.3">
      <c r="J76" s="135"/>
    </row>
    <row r="77" spans="2:10" x14ac:dyDescent="0.3">
      <c r="J77" s="135"/>
    </row>
    <row r="78" spans="2:10" x14ac:dyDescent="0.3">
      <c r="J78" s="135"/>
    </row>
    <row r="79" spans="2:10" x14ac:dyDescent="0.3">
      <c r="J79" s="135"/>
    </row>
    <row r="80" spans="2:10" x14ac:dyDescent="0.3">
      <c r="J80" s="135"/>
    </row>
    <row r="81" spans="10:10" x14ac:dyDescent="0.3">
      <c r="J81" s="135"/>
    </row>
    <row r="82" spans="10:10" x14ac:dyDescent="0.3">
      <c r="J82" s="135"/>
    </row>
    <row r="83" spans="10:10" x14ac:dyDescent="0.3">
      <c r="J83" s="135"/>
    </row>
    <row r="84" spans="10:10" x14ac:dyDescent="0.3">
      <c r="J84" s="135"/>
    </row>
    <row r="85" spans="10:10" x14ac:dyDescent="0.3">
      <c r="J85" s="135"/>
    </row>
    <row r="86" spans="10:10" x14ac:dyDescent="0.3">
      <c r="J86" s="135"/>
    </row>
    <row r="87" spans="10:10" x14ac:dyDescent="0.3">
      <c r="J87" s="135"/>
    </row>
    <row r="88" spans="10:10" x14ac:dyDescent="0.3">
      <c r="J88" s="135"/>
    </row>
    <row r="89" spans="10:10" x14ac:dyDescent="0.3">
      <c r="J89" s="135"/>
    </row>
    <row r="90" spans="10:10" x14ac:dyDescent="0.3">
      <c r="J90" s="135"/>
    </row>
    <row r="91" spans="10:10" x14ac:dyDescent="0.3">
      <c r="J91" s="135"/>
    </row>
    <row r="92" spans="10:10" x14ac:dyDescent="0.3">
      <c r="J92" s="135"/>
    </row>
    <row r="93" spans="10:10" x14ac:dyDescent="0.3">
      <c r="J93" s="135"/>
    </row>
    <row r="94" spans="10:10" x14ac:dyDescent="0.3">
      <c r="J94" s="135"/>
    </row>
    <row r="95" spans="10:10" x14ac:dyDescent="0.3">
      <c r="J95" s="135"/>
    </row>
    <row r="96" spans="10:10" x14ac:dyDescent="0.3">
      <c r="J96" s="135"/>
    </row>
    <row r="97" spans="10:10" x14ac:dyDescent="0.3">
      <c r="J97" s="135"/>
    </row>
    <row r="98" spans="10:10" x14ac:dyDescent="0.3">
      <c r="J98" s="135"/>
    </row>
    <row r="99" spans="10:10" x14ac:dyDescent="0.3">
      <c r="J99" s="135"/>
    </row>
    <row r="100" spans="10:10" x14ac:dyDescent="0.3">
      <c r="J100" s="135"/>
    </row>
    <row r="101" spans="10:10" x14ac:dyDescent="0.3">
      <c r="J101" s="135"/>
    </row>
    <row r="102" spans="10:10" x14ac:dyDescent="0.3">
      <c r="J102" s="135"/>
    </row>
    <row r="103" spans="10:10" x14ac:dyDescent="0.3">
      <c r="J103" s="135"/>
    </row>
    <row r="104" spans="10:10" x14ac:dyDescent="0.3">
      <c r="J104" s="135"/>
    </row>
    <row r="105" spans="10:10" x14ac:dyDescent="0.3">
      <c r="J105" s="135"/>
    </row>
    <row r="106" spans="10:10" x14ac:dyDescent="0.3">
      <c r="J106" s="135"/>
    </row>
    <row r="107" spans="10:10" x14ac:dyDescent="0.3">
      <c r="J107" s="135"/>
    </row>
    <row r="108" spans="10:10" x14ac:dyDescent="0.3">
      <c r="J108" s="135"/>
    </row>
    <row r="109" spans="10:10" x14ac:dyDescent="0.3">
      <c r="J109" s="135"/>
    </row>
    <row r="110" spans="10:10" x14ac:dyDescent="0.3">
      <c r="J110" s="135"/>
    </row>
    <row r="111" spans="10:10" x14ac:dyDescent="0.3">
      <c r="J111" s="135"/>
    </row>
    <row r="112" spans="10:10" x14ac:dyDescent="0.3">
      <c r="J112" s="135"/>
    </row>
  </sheetData>
  <dataValidations disablePrompts="1" count="1">
    <dataValidation showInputMessage="1" showErrorMessage="1" error="ספרות בלבד" sqref="G7:I9 G11:I13 G15:I17 G19:I21 G23:I26 G28:I37 H42 H45 H47:H48 H51 H54:H56 H59:H63 H66:H70" xr:uid="{00000000-0002-0000-0100-000000000000}"/>
  </dataValidations>
  <pageMargins left="0.19685039370078741" right="0.19685039370078741" top="0" bottom="0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Normalize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Shacham;NTAnalyze@gmail.com</dc:creator>
  <cp:lastModifiedBy>A1416</cp:lastModifiedBy>
  <cp:lastPrinted>2021-07-29T10:19:30Z</cp:lastPrinted>
  <dcterms:created xsi:type="dcterms:W3CDTF">2020-10-31T12:51:46Z</dcterms:created>
  <dcterms:modified xsi:type="dcterms:W3CDTF">2026-09-16T14:45:26Z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5373b877-94e6-4414-aa49-a49933b3367b</vt:lpwstr>
  </property>
</Properties>
</file>