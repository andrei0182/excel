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i\Desktop\Macro-N\"/>
    </mc:Choice>
  </mc:AlternateContent>
  <xr:revisionPtr revIDLastSave="0" documentId="13_ncr:1_{45198478-163E-403F-9C7B-72068CAED53A}" xr6:coauthVersionLast="47" xr6:coauthVersionMax="47" xr10:uidLastSave="{00000000-0000-0000-0000-000000000000}"/>
  <bookViews>
    <workbookView xWindow="-110" yWindow="-110" windowWidth="19420" windowHeight="11620" tabRatio="899" activeTab="1" xr2:uid="{00000000-000D-0000-FFFF-FFFF00000000}"/>
  </bookViews>
  <sheets>
    <sheet name="Main" sheetId="1" r:id="rId1"/>
    <sheet name="Normal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4" i="2" l="1"/>
  <c r="H83" i="2"/>
  <c r="H82" i="2"/>
  <c r="H81" i="2"/>
  <c r="H80" i="2"/>
  <c r="H77" i="2"/>
  <c r="H76" i="2"/>
  <c r="H75" i="2"/>
  <c r="H74" i="2"/>
  <c r="H73" i="2"/>
  <c r="H71" i="2"/>
  <c r="H70" i="2"/>
  <c r="H69" i="2"/>
  <c r="H39" i="2"/>
  <c r="H38" i="2"/>
  <c r="H37" i="2"/>
  <c r="H35" i="2"/>
  <c r="H34" i="2"/>
  <c r="H33" i="2"/>
  <c r="H31" i="2"/>
  <c r="H30" i="2"/>
  <c r="H29" i="2"/>
  <c r="H27" i="2"/>
  <c r="H26" i="2"/>
  <c r="H25" i="2"/>
  <c r="H23" i="2"/>
  <c r="H22" i="2"/>
  <c r="H21" i="2"/>
  <c r="H19" i="2"/>
  <c r="H18" i="2"/>
  <c r="H17" i="2"/>
  <c r="H15" i="2"/>
  <c r="H14" i="2"/>
  <c r="H13" i="2"/>
  <c r="H11" i="2"/>
  <c r="H10" i="2"/>
  <c r="H9" i="2"/>
  <c r="H7" i="2"/>
  <c r="H6" i="2"/>
  <c r="H5" i="2"/>
  <c r="K224" i="1"/>
  <c r="K223" i="1"/>
  <c r="K222" i="1"/>
  <c r="K221" i="1"/>
  <c r="K220" i="1"/>
  <c r="I219" i="1"/>
  <c r="K217" i="1"/>
  <c r="K216" i="1"/>
  <c r="K215" i="1"/>
  <c r="K214" i="1"/>
  <c r="K213" i="1"/>
  <c r="I212" i="1"/>
  <c r="I206" i="1" s="1"/>
  <c r="I30" i="1" s="1"/>
  <c r="K210" i="1"/>
  <c r="K209" i="1"/>
  <c r="K208" i="1"/>
  <c r="I207" i="1"/>
  <c r="K204" i="1"/>
  <c r="K203" i="1"/>
  <c r="K202" i="1"/>
  <c r="K201" i="1"/>
  <c r="K199" i="1"/>
  <c r="K198" i="1"/>
  <c r="K197" i="1"/>
  <c r="K196" i="1"/>
  <c r="I195" i="1"/>
  <c r="K193" i="1"/>
  <c r="K192" i="1"/>
  <c r="K191" i="1"/>
  <c r="K190" i="1"/>
  <c r="I189" i="1"/>
  <c r="I188" i="1"/>
  <c r="I28" i="1" s="1"/>
  <c r="K186" i="1"/>
  <c r="K185" i="1"/>
  <c r="K183" i="1"/>
  <c r="K182" i="1"/>
  <c r="I181" i="1"/>
  <c r="K179" i="1"/>
  <c r="K178" i="1"/>
  <c r="K177" i="1"/>
  <c r="K175" i="1"/>
  <c r="I174" i="1"/>
  <c r="I18" i="1" s="1"/>
  <c r="K172" i="1"/>
  <c r="K171" i="1"/>
  <c r="K167" i="1"/>
  <c r="K166" i="1"/>
  <c r="K165" i="1"/>
  <c r="K164" i="1"/>
  <c r="K163" i="1"/>
  <c r="K162" i="1"/>
  <c r="K161" i="1"/>
  <c r="K160" i="1"/>
  <c r="K159" i="1"/>
  <c r="K158" i="1"/>
  <c r="I157" i="1"/>
  <c r="I171" i="1" s="1"/>
  <c r="K156" i="1"/>
  <c r="K155" i="1"/>
  <c r="K154" i="1"/>
  <c r="K153" i="1"/>
  <c r="K152" i="1"/>
  <c r="K151" i="1"/>
  <c r="K150" i="1"/>
  <c r="K149" i="1"/>
  <c r="K148" i="1"/>
  <c r="K147" i="1"/>
  <c r="I146" i="1"/>
  <c r="K145" i="1"/>
  <c r="K144" i="1"/>
  <c r="K143" i="1"/>
  <c r="K142" i="1"/>
  <c r="K141" i="1"/>
  <c r="K140" i="1"/>
  <c r="K139" i="1"/>
  <c r="K138" i="1"/>
  <c r="K137" i="1"/>
  <c r="K136" i="1"/>
  <c r="I135" i="1"/>
  <c r="K134" i="1"/>
  <c r="K133" i="1"/>
  <c r="K132" i="1"/>
  <c r="K131" i="1"/>
  <c r="K130" i="1"/>
  <c r="K129" i="1"/>
  <c r="K128" i="1"/>
  <c r="K127" i="1"/>
  <c r="K126" i="1"/>
  <c r="K125" i="1"/>
  <c r="I124" i="1"/>
  <c r="I101" i="1" s="1"/>
  <c r="I90" i="1" s="1"/>
  <c r="K123" i="1"/>
  <c r="K122" i="1"/>
  <c r="K121" i="1"/>
  <c r="K120" i="1"/>
  <c r="K119" i="1"/>
  <c r="K118" i="1"/>
  <c r="K117" i="1"/>
  <c r="K116" i="1"/>
  <c r="K115" i="1"/>
  <c r="K114" i="1"/>
  <c r="I113" i="1"/>
  <c r="K112" i="1"/>
  <c r="K111" i="1"/>
  <c r="K110" i="1"/>
  <c r="K109" i="1"/>
  <c r="K108" i="1"/>
  <c r="K107" i="1"/>
  <c r="K106" i="1"/>
  <c r="K105" i="1"/>
  <c r="K104" i="1"/>
  <c r="K103" i="1"/>
  <c r="I102" i="1"/>
  <c r="K99" i="1"/>
  <c r="K98" i="1"/>
  <c r="I97" i="1"/>
  <c r="K95" i="1"/>
  <c r="K94" i="1"/>
  <c r="K93" i="1"/>
  <c r="I92" i="1"/>
  <c r="K88" i="1"/>
  <c r="K87" i="1"/>
  <c r="K86" i="1"/>
  <c r="K85" i="1"/>
  <c r="K84" i="1"/>
  <c r="K83" i="1"/>
  <c r="K82" i="1"/>
  <c r="I81" i="1"/>
  <c r="K80" i="1"/>
  <c r="K79" i="1"/>
  <c r="K78" i="1"/>
  <c r="K77" i="1"/>
  <c r="K76" i="1"/>
  <c r="K75" i="1"/>
  <c r="K74" i="1"/>
  <c r="K73" i="1"/>
  <c r="I72" i="1"/>
  <c r="I71" i="1"/>
  <c r="I10" i="1" s="1"/>
  <c r="K69" i="1"/>
  <c r="K68" i="1"/>
  <c r="K67" i="1"/>
  <c r="I66" i="1"/>
  <c r="K65" i="1"/>
  <c r="K64" i="1"/>
  <c r="K63" i="1"/>
  <c r="I62" i="1"/>
  <c r="K61" i="1"/>
  <c r="K60" i="1"/>
  <c r="K59" i="1"/>
  <c r="I58" i="1"/>
  <c r="K57" i="1"/>
  <c r="K56" i="1"/>
  <c r="K55" i="1"/>
  <c r="I54" i="1"/>
  <c r="K53" i="1"/>
  <c r="K52" i="1"/>
  <c r="K51" i="1"/>
  <c r="I50" i="1"/>
  <c r="K49" i="1"/>
  <c r="K48" i="1"/>
  <c r="K47" i="1"/>
  <c r="I46" i="1"/>
  <c r="K45" i="1"/>
  <c r="K44" i="1"/>
  <c r="K43" i="1"/>
  <c r="I42" i="1"/>
  <c r="K41" i="1"/>
  <c r="K40" i="1"/>
  <c r="K39" i="1"/>
  <c r="I38" i="1"/>
  <c r="K37" i="1"/>
  <c r="K36" i="1"/>
  <c r="K35" i="1"/>
  <c r="I34" i="1"/>
  <c r="I33" i="1" s="1"/>
  <c r="I32" i="1" s="1"/>
  <c r="I8" i="1" s="1"/>
  <c r="C30" i="1"/>
  <c r="C28" i="1"/>
  <c r="C20" i="1"/>
  <c r="C18" i="1"/>
  <c r="C16" i="1"/>
  <c r="C14" i="1"/>
  <c r="I14" i="1" l="1"/>
  <c r="I170" i="1"/>
  <c r="I169" i="1" s="1"/>
  <c r="I16" i="1" s="1"/>
  <c r="I6" i="1" s="1"/>
  <c r="I20" i="1"/>
</calcChain>
</file>

<file path=xl/sharedStrings.xml><?xml version="1.0" encoding="utf-8"?>
<sst xmlns="http://schemas.openxmlformats.org/spreadsheetml/2006/main" count="660" uniqueCount="331">
  <si>
    <t>Ver.#1</t>
  </si>
  <si>
    <t xml:space="preserve">קופות גמל לניהול כספי תגמולים לעצמאיים </t>
  </si>
  <si>
    <t>חברות פעילות בתחום</t>
  </si>
  <si>
    <t>השקעות</t>
  </si>
  <si>
    <t>החברה</t>
  </si>
  <si>
    <t>________</t>
  </si>
  <si>
    <t xml:space="preserve">מתוך </t>
  </si>
  <si>
    <t>חברות במערכת</t>
  </si>
  <si>
    <t>Website &amp; Service improvement Guide</t>
  </si>
  <si>
    <t>ככל ששטח המצולע גדול יותר - החברה איכותית יותר. 
להגדלת התרשים - עמדו עליו:</t>
  </si>
  <si>
    <t>המלצות לשיפור האתר, השירות והמותג
מהות ההמלצות לעדכון הפרמטרים הינה מקסימיזציה יחסית בהשוואה למיטבי מבין כלל אתרי תחום הפעילות ובכך לשדרג את מיקום האתר בדירוג הרייטינג הכולל והיחסי שלו</t>
  </si>
  <si>
    <t>דירוג הרייטינג היחסי הכולל</t>
  </si>
  <si>
    <t>&gt;</t>
  </si>
  <si>
    <t>ככל שהדירוגים בעמודה גבוהים יותר - החברה איכותית יותר</t>
  </si>
  <si>
    <t>מדגם תעריפים</t>
  </si>
  <si>
    <t>ביצועים ממוצעים</t>
  </si>
  <si>
    <t>מדגם תעריפים מירביים (כולל מע"מ)</t>
  </si>
  <si>
    <t xml:space="preserve">דירוג משוקלל מנורמל &gt;  </t>
  </si>
  <si>
    <t>מדגם תעריפים - תעריף שאינו זמין, המחיר=999)</t>
  </si>
  <si>
    <t>&lt;&lt;</t>
  </si>
  <si>
    <t>1.1</t>
  </si>
  <si>
    <t>תשלום דמי ניהול – % לשנה</t>
  </si>
  <si>
    <t>&lt;</t>
  </si>
  <si>
    <t>הערות /הבהרות למשתנים</t>
  </si>
  <si>
    <t>1.1.1</t>
  </si>
  <si>
    <t>מספר מחירונים זמינים</t>
  </si>
  <si>
    <t>N</t>
  </si>
  <si>
    <t>1.1.2</t>
  </si>
  <si>
    <t>מחיר מזערי במחירונים</t>
  </si>
  <si>
    <t>NV</t>
  </si>
  <si>
    <t>1.1.3</t>
  </si>
  <si>
    <t>מחיר מירבי במחירונים</t>
  </si>
  <si>
    <t>1.2</t>
  </si>
  <si>
    <t>ייעוץ בתחום הפנסיוני –מחיר שעה</t>
  </si>
  <si>
    <t>1.2.1</t>
  </si>
  <si>
    <t>1.2.2</t>
  </si>
  <si>
    <t>1.2.3</t>
  </si>
  <si>
    <t>1.3</t>
  </si>
  <si>
    <t>ניהול תיק השקעות אישי – % מהסכום המנוהל</t>
  </si>
  <si>
    <t>1.3.1</t>
  </si>
  <si>
    <t>1.3.2</t>
  </si>
  <si>
    <t>1.3.3</t>
  </si>
  <si>
    <t>1.4</t>
  </si>
  <si>
    <t>עמלות הפקדה /משיכה – %</t>
  </si>
  <si>
    <t>1.4.1</t>
  </si>
  <si>
    <t>1.4.2</t>
  </si>
  <si>
    <t>1.4.3</t>
  </si>
  <si>
    <t>1.5</t>
  </si>
  <si>
    <t>עמלות השקעות במניות ואגרות חוב – %</t>
  </si>
  <si>
    <t>1.5.1</t>
  </si>
  <si>
    <t>1.5.2</t>
  </si>
  <si>
    <t>1.5.3</t>
  </si>
  <si>
    <t>1.6</t>
  </si>
  <si>
    <t>דמי ניהול משכנתא עצמאית – %</t>
  </si>
  <si>
    <t>1.6.1</t>
  </si>
  <si>
    <t>1.6.2</t>
  </si>
  <si>
    <t>1.6.3</t>
  </si>
  <si>
    <t>1.7</t>
  </si>
  <si>
    <t>ייעוץ על פנסיה בשירותים בלעדיים - מחיר פגישה</t>
  </si>
  <si>
    <t>1.7.1</t>
  </si>
  <si>
    <t>1.7.2</t>
  </si>
  <si>
    <t>1.7.3</t>
  </si>
  <si>
    <t>1.8</t>
  </si>
  <si>
    <t>שירותי אכיפת רגולציה או ייעוץ רגולטורי – מחיר שעה</t>
  </si>
  <si>
    <t>1.8.1</t>
  </si>
  <si>
    <t>1.8.2</t>
  </si>
  <si>
    <t>1.8.3</t>
  </si>
  <si>
    <t>1.9</t>
  </si>
  <si>
    <t>שכר טרחה לטיפול בפנסיה – לכל טיפול</t>
  </si>
  <si>
    <t>1.9.1</t>
  </si>
  <si>
    <t>1.9.2</t>
  </si>
  <si>
    <t>1.9.3</t>
  </si>
  <si>
    <t>ביצועים ממוצעים - לסוף שנת הלוח הקודמת</t>
  </si>
  <si>
    <t>תשואות</t>
  </si>
  <si>
    <t>תשואה ממוצעת שנה אחרונה</t>
  </si>
  <si>
    <t>תשואה מצטברת לתקופה</t>
  </si>
  <si>
    <t>תשואה חודשית ממוצעת 3 שנים</t>
  </si>
  <si>
    <t>תשואה חודשית ממוצעת 5 שנים</t>
  </si>
  <si>
    <t>תשואה מצטברת 3 שנים</t>
  </si>
  <si>
    <t>תשואה מצטברת 5 שנים</t>
  </si>
  <si>
    <t>תשואה שנתית ממוצעת 3 שנים</t>
  </si>
  <si>
    <t>תשואה שנתית ממוצעת 5 שנים</t>
  </si>
  <si>
    <t>מדדי סיכון</t>
  </si>
  <si>
    <t>2.1</t>
  </si>
  <si>
    <t>סטיית תקן 36 חודשים</t>
  </si>
  <si>
    <t>2.2</t>
  </si>
  <si>
    <t>סטיית תקן 60 חודשים</t>
  </si>
  <si>
    <t>2.3</t>
  </si>
  <si>
    <t>אלפא שנתית</t>
  </si>
  <si>
    <t>2.4</t>
  </si>
  <si>
    <t>שארפ ענף</t>
  </si>
  <si>
    <t>2.5</t>
  </si>
  <si>
    <t>שארפ כל הקופות</t>
  </si>
  <si>
    <t>2.6</t>
  </si>
  <si>
    <t>שארפ ריבית חסרת סיכון</t>
  </si>
  <si>
    <t>2.7</t>
  </si>
  <si>
    <t>יחס נזילות</t>
  </si>
  <si>
    <t>ערכיות רב-שכבתית</t>
  </si>
  <si>
    <t>גודל ופריסה</t>
  </si>
  <si>
    <t>4.1</t>
  </si>
  <si>
    <t>מחירון מפורט מלא באתר לכל שירות</t>
  </si>
  <si>
    <t>כן=5 / לא=0</t>
  </si>
  <si>
    <t>4.2</t>
  </si>
  <si>
    <t>המחירון באתר כולל את מלוא התשלומים שיידרשו מהלקוח</t>
  </si>
  <si>
    <t>4.3</t>
  </si>
  <si>
    <t>כל השירותים המפורסמים באתר זמינים מיידית</t>
  </si>
  <si>
    <t>רמת ואמינות השירות</t>
  </si>
  <si>
    <t>המחיר בפועל אינו עולה על המחיר מפורסם באתר</t>
  </si>
  <si>
    <t>אין תעריף כלשהו נוסף למחיר המפורסם באתר</t>
  </si>
  <si>
    <t>מאפייני השירותים</t>
  </si>
  <si>
    <t>השירותים הזמינים</t>
  </si>
  <si>
    <t>3.1.1</t>
  </si>
  <si>
    <t>ניהול קופות גמל לעובדים עצמאים</t>
  </si>
  <si>
    <t>3.1.2</t>
  </si>
  <si>
    <t>ניהול תיקי השקעות לפנסיה</t>
  </si>
  <si>
    <t>3.1.3</t>
  </si>
  <si>
    <t>תכנון חיסכון פנסיוני מותאם אישית</t>
  </si>
  <si>
    <t>3.1.4</t>
  </si>
  <si>
    <t>ניהול השקעות לטווח ארוך (פנסיה ותגמולים)</t>
  </si>
  <si>
    <t>3.1.5</t>
  </si>
  <si>
    <t>הצעות לניהול סיכונים פיננסיים</t>
  </si>
  <si>
    <t>3.1.6</t>
  </si>
  <si>
    <t>ייעוץ אישי בתחום החיסכון הפנסיוני</t>
  </si>
  <si>
    <t>3.1.7</t>
  </si>
  <si>
    <t>ייעוץ לגבי תכניות גמל והשקעות לעתיד</t>
  </si>
  <si>
    <t>3.1.8</t>
  </si>
  <si>
    <t>העברת כספים בין קופות גמל</t>
  </si>
  <si>
    <t>3.1.9</t>
  </si>
  <si>
    <t>ייעוץ בפתרונות חיסכון לעת זקנה</t>
  </si>
  <si>
    <t>3.1.10</t>
  </si>
  <si>
    <t>עדכון מידע והתאמה לצרכים אישיים</t>
  </si>
  <si>
    <t>מחוייבות למאפייני השירותים</t>
  </si>
  <si>
    <t>3.2.1</t>
  </si>
  <si>
    <t>קופת גמל בתנאים מותאמים אישית</t>
  </si>
  <si>
    <t>3.2.2</t>
  </si>
  <si>
    <t>אפשרות למשיכה בסיום תקופה</t>
  </si>
  <si>
    <t>3.2.3</t>
  </si>
  <si>
    <t>גמישות במצבי שינוי בחיי הלקוח</t>
  </si>
  <si>
    <t>3.2.4</t>
  </si>
  <si>
    <t>ריבית גבוהה ומועילה</t>
  </si>
  <si>
    <t>3.2.5</t>
  </si>
  <si>
    <t>מסלול השקעה מבוקר ומפוקח</t>
  </si>
  <si>
    <t>3.2.6</t>
  </si>
  <si>
    <t>מערכת דיווח נוחה ועדכנית</t>
  </si>
  <si>
    <t>3.2.7</t>
  </si>
  <si>
    <t>אפשרות להשקעות במניות, אגרות חוב ונדל"ן</t>
  </si>
  <si>
    <t>3.2.8</t>
  </si>
  <si>
    <t>מסלולי השקעה מוכוונים סיכון</t>
  </si>
  <si>
    <t>3.2.9</t>
  </si>
  <si>
    <t>התאמה אישית למצב הפיננסי של הלקוח</t>
  </si>
  <si>
    <t>3.2.10</t>
  </si>
  <si>
    <t>עלות ניהול נמוכה יחסית</t>
  </si>
  <si>
    <t>התחייבות לעמידה מלאה וקבועה ברגולציה, חוקים, תקנות ותקנים</t>
  </si>
  <si>
    <t>3.3.1</t>
  </si>
  <si>
    <t>חוק הסדרת הלוואות לעובדים עצמאים</t>
  </si>
  <si>
    <t>3.3.2</t>
  </si>
  <si>
    <t>תקנות המפקח על הביטוח</t>
  </si>
  <si>
    <t>3.3.3</t>
  </si>
  <si>
    <t>חוק הגנת הצרכן</t>
  </si>
  <si>
    <t>3.3.4</t>
  </si>
  <si>
    <t>תקנות ניהול השקעות גמל ותגמולים</t>
  </si>
  <si>
    <t>3.3.5</t>
  </si>
  <si>
    <t>תקנות מס הכנסה (הפקדה לקופות גמל)</t>
  </si>
  <si>
    <t>3.3.6</t>
  </si>
  <si>
    <t>תקנות מנהל המס הכנסה לגבי דיווחים פננסיים</t>
  </si>
  <si>
    <t>3.3.7</t>
  </si>
  <si>
    <t>כללי הסדרת מסלולי השקעות בפנסיה</t>
  </si>
  <si>
    <t>3.3.8</t>
  </si>
  <si>
    <t>רגולציות ועדות המפקח הפנסיוני</t>
  </si>
  <si>
    <t>3.3.9</t>
  </si>
  <si>
    <t>חוק העבודה ומסמכים פנסיוניים</t>
  </si>
  <si>
    <t>3.3.10</t>
  </si>
  <si>
    <t>התקנות והדרישות של רשות שוק ההון</t>
  </si>
  <si>
    <t>התחייבות להקפדה אקולוגית רציפה</t>
  </si>
  <si>
    <t>3.4.1</t>
  </si>
  <si>
    <t>דרישות ליישום השקעות ירוקות</t>
  </si>
  <si>
    <t>3.4.2</t>
  </si>
  <si>
    <t>השקעה באג"ח ירוקות וביולוגיות</t>
  </si>
  <si>
    <t>3.4.3</t>
  </si>
  <si>
    <t>השקעות בתשתיות טכנולוגיות ירוקות</t>
  </si>
  <si>
    <t>3.4.4</t>
  </si>
  <si>
    <t>גידול במודעות להשקעות ברות קיימא</t>
  </si>
  <si>
    <t>3.4.5</t>
  </si>
  <si>
    <t>קידום השקעות למיזמים אקולוגיים</t>
  </si>
  <si>
    <t>3.4.6</t>
  </si>
  <si>
    <t>התמחות בהשקעות תאגידים עם אחריות סביבתית</t>
  </si>
  <si>
    <t>3.4.7</t>
  </si>
  <si>
    <t>דרישות לאסטרטגיות השקעה אחראיות חברתית</t>
  </si>
  <si>
    <t>3.4.8</t>
  </si>
  <si>
    <t>דגש על שמירה על איכות הסביבה במהלך ההשקעה</t>
  </si>
  <si>
    <t>3.4.9</t>
  </si>
  <si>
    <t>הטמעת ניהול סיכונים סביבתיים</t>
  </si>
  <si>
    <t>3.4.10</t>
  </si>
  <si>
    <t>מימון ומעורבות בפרויקטים המקדמים את הקיימות</t>
  </si>
  <si>
    <t>התחייבות להקפדה אתית רציפה</t>
  </si>
  <si>
    <t>3.5.1</t>
  </si>
  <si>
    <t>השקעה הוגנת ואחראית</t>
  </si>
  <si>
    <t>3.5.2</t>
  </si>
  <si>
    <t>שמירה על פרטיות הלקוח</t>
  </si>
  <si>
    <t>3.5.3</t>
  </si>
  <si>
    <t>ייעוץ מקצועי ללא ניגוד עניינים</t>
  </si>
  <si>
    <t>3.5.4</t>
  </si>
  <si>
    <t>שקיפות מלאה לגבי עלויות ודמי ניהול</t>
  </si>
  <si>
    <t>3.5.5</t>
  </si>
  <si>
    <t>לא להסתיר מידע פיננסי חשוב</t>
  </si>
  <si>
    <t>3.5.6</t>
  </si>
  <si>
    <t>מתן פתרונות פנסיוניים בהתאם לצרכים האישיים של הלקוח</t>
  </si>
  <si>
    <t>3.5.7</t>
  </si>
  <si>
    <t>דיווח בזמן אמת על מצבים חריגים</t>
  </si>
  <si>
    <t>3.5.8</t>
  </si>
  <si>
    <t>הימנעות מהשפעה לא הוגנת על הלקוח</t>
  </si>
  <si>
    <t>3.5.9</t>
  </si>
  <si>
    <t>שמירה על סודיות העסקאות</t>
  </si>
  <si>
    <t>3.5.10</t>
  </si>
  <si>
    <t>יושר ואמינות בהצגת פתרונות</t>
  </si>
  <si>
    <t>יכולות ייחודיות /חריגות זמינות קבוע</t>
  </si>
  <si>
    <t>3.6.1</t>
  </si>
  <si>
    <t>מערכות ניהול חיסכון אוטומטיות מתקדמות</t>
  </si>
  <si>
    <t>3.6.2</t>
  </si>
  <si>
    <t>פיתוח מוצרים פנסיוניים ייחודיים המותאמים אישית</t>
  </si>
  <si>
    <t>3.6.3</t>
  </si>
  <si>
    <t>שיתוף פעולה עם גופים בינלאומיים לייעוץ פיננסי</t>
  </si>
  <si>
    <t>3.6.4</t>
  </si>
  <si>
    <t>פיתוח פתרונות השקעה פנסיוניים מותאמים אישית</t>
  </si>
  <si>
    <t>3.6.5</t>
  </si>
  <si>
    <t>אסטרטגיות פיננסיות המשלבות תחום נדל"ן עם פנסיה</t>
  </si>
  <si>
    <t>3.6.6</t>
  </si>
  <si>
    <t>התאמה אישית של מסלולי השקעה תוך שיפור שולי הרווח</t>
  </si>
  <si>
    <t>3.6.7</t>
  </si>
  <si>
    <t>צוות מקצועי בייעוץ פנסיוני עם ניסיון בינלאומי</t>
  </si>
  <si>
    <t>3.6.8</t>
  </si>
  <si>
    <t>מערכת דיווח אוטומטית בזמן אמת</t>
  </si>
  <si>
    <t>3.6.9</t>
  </si>
  <si>
    <t>בניית תכניות חיסכון לאורח חיים ייחודי</t>
  </si>
  <si>
    <t>3.6.10</t>
  </si>
  <si>
    <t>השקעה במיזמים טכנולוגיים חדשים שקשורים לפנסיה</t>
  </si>
  <si>
    <t>דירוג המוון היחסי</t>
  </si>
  <si>
    <t>דירוג היכולות הייחודיות היחסיות</t>
  </si>
  <si>
    <t>שנת תחילת הפעילות הרשמית  בתחום</t>
  </si>
  <si>
    <t>רמת שירות וממשקים</t>
  </si>
  <si>
    <t>זמן תגובה לפניות בצור קשר /תמיכה של האתר (שעות)</t>
  </si>
  <si>
    <t>זמן המתנה ממוצע למענה טלפוני של המוקד</t>
  </si>
  <si>
    <t>בשעות הפעילות (דקות)</t>
  </si>
  <si>
    <t>מעבר לשעות הפעילות (דקות)</t>
  </si>
  <si>
    <t>באתר החברה שפת /ות ממשק בנוסף לעברית</t>
  </si>
  <si>
    <t>אמינות ושקיפות</t>
  </si>
  <si>
    <t>אמינות ודיוק בדיווח האתר למערכת "רייטינג"</t>
  </si>
  <si>
    <t>0-5</t>
  </si>
  <si>
    <t>דירוג שקיפות החברה והאתר</t>
  </si>
  <si>
    <t>קיום מחירון מלא ומפורט באתר האינטרנט</t>
  </si>
  <si>
    <t>מספר המדדים הנשאבים אוטומטית מהאתר</t>
  </si>
  <si>
    <t>המדיניות אינה מתירה ואין מבוצעת מחיקה /שינוי חוות דעת משתמשים</t>
  </si>
  <si>
    <t>סייבר ושמירת פרטיות</t>
  </si>
  <si>
    <t>שמירת פרטיות הגולשים</t>
  </si>
  <si>
    <t xml:space="preserve">דירוג משוקלל  &gt;  </t>
  </si>
  <si>
    <t>באתר אין כל תצוגה גלויה המאפשרת צפיה בפעילות כלשהי של הגולשים באתר</t>
  </si>
  <si>
    <t>אין באתר שידול גולשים לרכישת מוצר /שירות /שדרוג וכיוב'</t>
  </si>
  <si>
    <t>באתר וברשומותיו לא מבוצע ניתוח נתוני גולשים לשם דיוור /פרסום /מכירת מידע</t>
  </si>
  <si>
    <t>כל מידע אודות הגולשים אינו מועבר או נמכר לגורמים שלישיים</t>
  </si>
  <si>
    <t>אבטחת סייבר ומידע הגולשים</t>
  </si>
  <si>
    <t>החברה פועלת בהתאם ל'תורת הגנת מערך הסייבר, של מערך הסייבר הלאומי</t>
  </si>
  <si>
    <t>לחברה מנהל מידע שאינו בעל תפקיד אחר</t>
  </si>
  <si>
    <t>לאתר החברה תקן ISO 27001</t>
  </si>
  <si>
    <t xml:space="preserve">לאתר החברה תקן SOC 2 </t>
  </si>
  <si>
    <t>ססמאות משתמשים</t>
  </si>
  <si>
    <t>2.5.1</t>
  </si>
  <si>
    <t>קיום אימות דו שלבי</t>
  </si>
  <si>
    <t>2.5.2</t>
  </si>
  <si>
    <t>קיום מניעת הזנת הזנת ססמאות פשוטות</t>
  </si>
  <si>
    <t>2.5.3</t>
  </si>
  <si>
    <t>קיום חיוב תדיר להחלפת סיסמאות</t>
  </si>
  <si>
    <t>2.5.4</t>
  </si>
  <si>
    <t>קיום הגבלת מספר ניסיונות כניסה עם סיסמא שגויה</t>
  </si>
  <si>
    <t>נוכחות דיגיטלית</t>
  </si>
  <si>
    <t>ביצועי האתר - מהירות גלישה (ישראל)</t>
  </si>
  <si>
    <t>צבע תוכן ראשון (FCP) - שניות</t>
  </si>
  <si>
    <t>NVT</t>
  </si>
  <si>
    <t>שינוי פריסה מצטבר (CLS)</t>
  </si>
  <si>
    <t xml:space="preserve"> אינטראקציה לצביעה הבאה (INP) - מילישניות</t>
  </si>
  <si>
    <t>דירוג המקובלות ברשת</t>
  </si>
  <si>
    <t>פופולריות יחסית לתחום הפעילות (ישראל)</t>
  </si>
  <si>
    <t>מספר ביקורים חודשי - אלפים</t>
  </si>
  <si>
    <t>NT</t>
  </si>
  <si>
    <t>משך שהיה ממוצע באתר - דקות</t>
  </si>
  <si>
    <t>קישורים נכנסים לאתר - Backlinks - אלפים</t>
  </si>
  <si>
    <t>הפניות לאתר - Refferings - אלפים</t>
  </si>
  <si>
    <t>נוכחות בדיגיטל ובתקשורת</t>
  </si>
  <si>
    <t>3.1</t>
  </si>
  <si>
    <t>אזכורים ברשתות החברתיות - Engagements - אלפים</t>
  </si>
  <si>
    <t>3.2</t>
  </si>
  <si>
    <t>אזכורים בתקשורת - אלפים</t>
  </si>
  <si>
    <t>3.3</t>
  </si>
  <si>
    <t>מוניטין דיגיטלי - Digital Reputation - %</t>
  </si>
  <si>
    <t>3.4</t>
  </si>
  <si>
    <t>טרנדיות - Trends - %</t>
  </si>
  <si>
    <t>3.5</t>
  </si>
  <si>
    <t>ביקורות ודירוגים - Reviews - %</t>
  </si>
  <si>
    <t>שם + משפחה:</t>
  </si>
  <si>
    <t>אבג</t>
  </si>
  <si>
    <t>תאריך:</t>
  </si>
  <si>
    <t>dd/mm/yy</t>
  </si>
  <si>
    <t>הערות כלליות לקובץ</t>
  </si>
  <si>
    <t>דרערדער</t>
  </si>
  <si>
    <t>A link for downloading the
factors Wizard:</t>
  </si>
  <si>
    <t>תפקיד:</t>
  </si>
  <si>
    <t>דהו</t>
  </si>
  <si>
    <t>שעה:</t>
  </si>
  <si>
    <t>tt:tt</t>
  </si>
  <si>
    <t>אימות נתוני האתר /החברה (במותגים: המותג)</t>
  </si>
  <si>
    <t>שם אתר /חברה (/מותג):</t>
  </si>
  <si>
    <t>כתובת אינטרנט:</t>
  </si>
  <si>
    <t>כתובת אימייל:</t>
  </si>
  <si>
    <t>שעות פתיחה (לסימון סגור /אין קבלת קהל - השעה: 00:00)</t>
  </si>
  <si>
    <t>כתובת צור קשר:</t>
  </si>
  <si>
    <t>א' עד ה'</t>
  </si>
  <si>
    <t>ו'</t>
  </si>
  <si>
    <t>שבת</t>
  </si>
  <si>
    <t>מספר טלפון:</t>
  </si>
  <si>
    <t>משעה</t>
  </si>
  <si>
    <t>עד שעה</t>
  </si>
  <si>
    <t>כתובת ראשית:</t>
  </si>
  <si>
    <t>רחוב</t>
  </si>
  <si>
    <t>מספר</t>
  </si>
  <si>
    <t>ישוב</t>
  </si>
  <si>
    <t>טלפון</t>
  </si>
  <si>
    <t>פרמטרים לנירמול</t>
  </si>
  <si>
    <t>MIN</t>
  </si>
  <si>
    <t>AVR</t>
  </si>
  <si>
    <t>MAX</t>
  </si>
  <si>
    <t>מדדים תעריפיים (כולל מע"מ)</t>
  </si>
  <si>
    <t>שארפ תשואה חציונית ענף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</si>
</sst>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&quot;₪&quot;\ #,##0.00"/>
    <numFmt numFmtId="166" formatCode="0.0"/>
    <numFmt numFmtId="167" formatCode="&quot;₪&quot;\ #,##0"/>
    <numFmt numFmtId="168" formatCode="[$-1010000]d/m/yy;@"/>
    <numFmt numFmtId="169" formatCode="[$-1000000]h:mm;@"/>
  </numFmts>
  <fonts count="8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</font>
    <font>
      <sz val="13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u/>
      <sz val="18"/>
      <color theme="1"/>
      <name val="Arial"/>
      <family val="2"/>
    </font>
    <font>
      <sz val="9"/>
      <color theme="1"/>
      <name val="Arial"/>
      <family val="2"/>
    </font>
    <font>
      <u/>
      <sz val="13"/>
      <color theme="1"/>
      <name val="Arial"/>
      <family val="2"/>
    </font>
    <font>
      <sz val="10"/>
      <color theme="1"/>
      <name val="Arial"/>
      <family val="2"/>
    </font>
    <font>
      <sz val="11"/>
      <color rgb="FF000099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  <charset val="177"/>
      <scheme val="minor"/>
    </font>
    <font>
      <b/>
      <i/>
      <sz val="20"/>
      <color theme="1"/>
      <name val="Arial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b/>
      <i/>
      <sz val="18"/>
      <color theme="1"/>
      <name val="Arial"/>
      <family val="2"/>
    </font>
    <font>
      <sz val="12"/>
      <name val="Arial"/>
      <family val="2"/>
    </font>
    <font>
      <b/>
      <i/>
      <u/>
      <sz val="20"/>
      <color theme="1"/>
      <name val="Arial"/>
      <family val="2"/>
      <scheme val="minor"/>
    </font>
    <font>
      <b/>
      <i/>
      <u/>
      <sz val="14"/>
      <color theme="1"/>
      <name val="Arial"/>
      <family val="2"/>
    </font>
    <font>
      <b/>
      <i/>
      <sz val="13"/>
      <color theme="1"/>
      <name val="Arial"/>
      <family val="2"/>
    </font>
    <font>
      <b/>
      <sz val="14"/>
      <color rgb="FF000099"/>
      <name val="Arial"/>
      <family val="2"/>
    </font>
    <font>
      <b/>
      <sz val="20"/>
      <color theme="1"/>
      <name val="Arial"/>
      <family val="2"/>
    </font>
    <font>
      <sz val="16"/>
      <color rgb="FF000099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i/>
      <u/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i/>
      <sz val="16"/>
      <color theme="1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i/>
      <sz val="14"/>
      <color theme="5" tint="-0.249977111117893"/>
      <name val="Arial"/>
      <family val="2"/>
    </font>
    <font>
      <b/>
      <i/>
      <sz val="22"/>
      <color theme="1"/>
      <name val="Arial"/>
      <family val="2"/>
    </font>
    <font>
      <b/>
      <i/>
      <sz val="20"/>
      <color theme="0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6"/>
      <color theme="0"/>
      <name val="Arial"/>
      <family val="2"/>
    </font>
    <font>
      <b/>
      <i/>
      <sz val="36"/>
      <color theme="0"/>
      <name val="Arial"/>
      <family val="2"/>
    </font>
    <font>
      <b/>
      <i/>
      <sz val="11"/>
      <color theme="1"/>
      <name val="Arial"/>
      <family val="2"/>
    </font>
    <font>
      <b/>
      <i/>
      <sz val="14"/>
      <color theme="0"/>
      <name val="Arial"/>
      <family val="2"/>
    </font>
    <font>
      <b/>
      <u/>
      <sz val="18"/>
      <color theme="1"/>
      <name val="Arial"/>
      <family val="2"/>
    </font>
    <font>
      <b/>
      <sz val="12"/>
      <color theme="5" tint="-0.249977111117893"/>
      <name val="Arial"/>
      <family val="2"/>
    </font>
    <font>
      <sz val="11"/>
      <color theme="1"/>
      <name val="Arial"/>
      <family val="2"/>
      <scheme val="minor"/>
    </font>
    <font>
      <b/>
      <i/>
      <sz val="10"/>
      <color theme="0"/>
      <name val="Arial"/>
      <family val="2"/>
    </font>
    <font>
      <b/>
      <i/>
      <sz val="11"/>
      <color rgb="FF7030A0"/>
      <name val="Arial"/>
      <family val="2"/>
    </font>
    <font>
      <sz val="12"/>
      <color theme="1"/>
      <name val="Arial"/>
      <family val="2"/>
      <scheme val="minor"/>
    </font>
    <font>
      <sz val="18"/>
      <color rgb="FF000099"/>
      <name val="Arial"/>
      <family val="2"/>
    </font>
    <font>
      <sz val="14"/>
      <color rgb="FF000099"/>
      <name val="Arial"/>
      <family val="2"/>
    </font>
    <font>
      <b/>
      <u/>
      <sz val="14"/>
      <color rgb="FF000000"/>
      <name val="Arial"/>
      <family val="2"/>
    </font>
    <font>
      <sz val="13"/>
      <color rgb="FF000000"/>
      <name val="Arial"/>
      <family val="2"/>
      <charset val="177"/>
      <scheme val="minor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A6A6A6"/>
      <name val="Arial"/>
      <family val="2"/>
    </font>
    <font>
      <b/>
      <i/>
      <u/>
      <sz val="16"/>
      <color rgb="FF000000"/>
      <name val="Arial"/>
      <family val="2"/>
    </font>
    <font>
      <sz val="10"/>
      <name val="Arial"/>
      <family val="2"/>
      <charset val="177"/>
      <scheme val="minor"/>
    </font>
    <font>
      <sz val="10"/>
      <name val="Arial"/>
      <family val="2"/>
      <scheme val="minor"/>
    </font>
    <font>
      <b/>
      <i/>
      <sz val="16"/>
      <color theme="5" tint="-0.249977111117893"/>
      <name val="Arial"/>
      <family val="2"/>
    </font>
    <font>
      <b/>
      <u/>
      <sz val="13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u/>
      <sz val="13"/>
      <color theme="1"/>
      <name val="Arial"/>
      <family val="2"/>
    </font>
    <font>
      <sz val="11"/>
      <name val="Arial"/>
      <family val="2"/>
      <charset val="177"/>
    </font>
    <font>
      <b/>
      <i/>
      <sz val="11"/>
      <color theme="0"/>
      <name val="Arial"/>
      <family val="2"/>
    </font>
    <font>
      <b/>
      <i/>
      <sz val="11"/>
      <name val="Arial"/>
      <family val="2"/>
    </font>
    <font>
      <sz val="11"/>
      <color rgb="FFA6A6A6"/>
      <name val="Arial"/>
      <family val="2"/>
    </font>
    <font>
      <u/>
      <sz val="11"/>
      <name val="Arial"/>
      <family val="2"/>
    </font>
    <font>
      <u/>
      <sz val="10"/>
      <color theme="10"/>
      <name val="Arial"/>
      <family val="2"/>
      <charset val="177"/>
      <scheme val="minor"/>
    </font>
    <font>
      <b/>
      <u/>
      <sz val="13"/>
      <name val="Arial"/>
      <family val="2"/>
      <scheme val="minor"/>
    </font>
    <font>
      <i/>
      <u/>
      <sz val="16"/>
      <color rgb="FF000000"/>
      <name val="Arial"/>
      <family val="2"/>
    </font>
    <font>
      <i/>
      <u/>
      <sz val="16"/>
      <name val="Arial"/>
      <family val="2"/>
    </font>
    <font>
      <sz val="14"/>
      <name val="Arial"/>
      <family val="2"/>
    </font>
    <font>
      <b/>
      <sz val="15.4"/>
      <color rgb="FF000000"/>
      <name val="Arial"/>
    </font>
    <font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7FEBA"/>
        <bgColor indexed="64"/>
      </patternFill>
    </fill>
    <fill>
      <patternFill patternType="solid">
        <fgColor rgb="FFBDFFB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FF8B"/>
        <bgColor indexed="64"/>
      </patternFill>
    </fill>
    <fill>
      <patternFill patternType="solid">
        <fgColor rgb="FFD1F9A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5FAB0"/>
        <bgColor rgb="FF000000"/>
      </patternFill>
    </fill>
    <fill>
      <patternFill patternType="solid">
        <fgColor rgb="FFB6F676"/>
        <bgColor indexed="64"/>
      </patternFill>
    </fill>
    <fill>
      <patternFill patternType="solid">
        <fgColor rgb="FFDEEBF6"/>
      </patternFill>
    </fill>
    <fill>
      <patternFill patternType="solid">
        <fgColor rgb="FFFFF3CB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/>
      <right/>
      <top/>
      <bottom style="dashed">
        <color rgb="FF000000"/>
      </bottom>
      <diagonal/>
    </border>
    <border>
      <left style="thin">
        <color auto="1"/>
      </left>
      <right style="thin">
        <color indexed="64"/>
      </right>
      <top style="dashed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indexed="64"/>
      </top>
      <bottom style="dashed">
        <color rgb="FF000000"/>
      </bottom>
      <diagonal/>
    </border>
  </borders>
  <cellStyleXfs count="9">
    <xf numFmtId="0" fontId="0" fillId="0" borderId="16"/>
    <xf numFmtId="0" fontId="1" fillId="0" borderId="16"/>
    <xf numFmtId="0" fontId="1" fillId="0" borderId="16"/>
    <xf numFmtId="0" fontId="1" fillId="0" borderId="16"/>
    <xf numFmtId="9" fontId="35" fillId="0" borderId="16"/>
    <xf numFmtId="0" fontId="1" fillId="0" borderId="16"/>
    <xf numFmtId="0" fontId="1" fillId="0" borderId="16"/>
    <xf numFmtId="0" fontId="1" fillId="0" borderId="16"/>
    <xf numFmtId="0" fontId="78" fillId="0" borderId="16"/>
  </cellStyleXfs>
  <cellXfs count="326">
    <xf numFmtId="0" fontId="0" fillId="0" borderId="0" xfId="0" applyBorder="1"/>
    <xf numFmtId="3" fontId="0" fillId="2" borderId="0" xfId="0" applyNumberFormat="1" applyFill="1" applyBorder="1" applyAlignment="1">
      <alignment horizontal="right" vertical="center" readingOrder="2"/>
    </xf>
    <xf numFmtId="3" fontId="7" fillId="2" borderId="0" xfId="0" applyNumberFormat="1" applyFont="1" applyFill="1" applyBorder="1" applyAlignment="1">
      <alignment horizontal="center" vertical="center" wrapText="1" readingOrder="2"/>
    </xf>
    <xf numFmtId="3" fontId="4" fillId="2" borderId="0" xfId="0" applyNumberFormat="1" applyFont="1" applyFill="1" applyBorder="1" applyAlignment="1">
      <alignment horizontal="right" vertical="center" readingOrder="2"/>
    </xf>
    <xf numFmtId="0" fontId="4" fillId="0" borderId="0" xfId="0" applyFont="1" applyBorder="1"/>
    <xf numFmtId="3" fontId="4" fillId="2" borderId="0" xfId="0" applyNumberFormat="1" applyFont="1" applyFill="1" applyBorder="1" applyAlignment="1">
      <alignment horizontal="center" vertical="center" readingOrder="2"/>
    </xf>
    <xf numFmtId="3" fontId="12" fillId="7" borderId="8" xfId="0" applyNumberFormat="1" applyFont="1" applyFill="1" applyBorder="1" applyAlignment="1">
      <alignment horizontal="center" vertical="center" readingOrder="2"/>
    </xf>
    <xf numFmtId="3" fontId="12" fillId="5" borderId="2" xfId="0" applyNumberFormat="1" applyFont="1" applyFill="1" applyBorder="1" applyAlignment="1">
      <alignment horizontal="center" vertical="center" readingOrder="2"/>
    </xf>
    <xf numFmtId="4" fontId="12" fillId="5" borderId="2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center" vertical="center" wrapText="1" readingOrder="2"/>
    </xf>
    <xf numFmtId="3" fontId="4" fillId="0" borderId="0" xfId="0" applyNumberFormat="1" applyFont="1" applyBorder="1" applyAlignment="1">
      <alignment horizontal="right" vertical="center" wrapText="1" readingOrder="2"/>
    </xf>
    <xf numFmtId="3" fontId="8" fillId="0" borderId="0" xfId="0" applyNumberFormat="1" applyFont="1" applyBorder="1" applyAlignment="1">
      <alignment horizontal="right" readingOrder="2"/>
    </xf>
    <xf numFmtId="3" fontId="6" fillId="2" borderId="0" xfId="0" applyNumberFormat="1" applyFont="1" applyFill="1" applyBorder="1" applyAlignment="1">
      <alignment horizontal="right" vertical="center" readingOrder="2"/>
    </xf>
    <xf numFmtId="3" fontId="8" fillId="0" borderId="0" xfId="0" applyNumberFormat="1" applyFont="1" applyBorder="1" applyAlignment="1">
      <alignment horizontal="left" vertical="center" readingOrder="2"/>
    </xf>
    <xf numFmtId="3" fontId="5" fillId="0" borderId="0" xfId="0" applyNumberFormat="1" applyFont="1" applyBorder="1" applyAlignment="1">
      <alignment horizontal="center" vertical="center" readingOrder="2"/>
    </xf>
    <xf numFmtId="3" fontId="6" fillId="0" borderId="0" xfId="0" applyNumberFormat="1" applyFont="1" applyBorder="1" applyAlignment="1">
      <alignment horizontal="center" readingOrder="2"/>
    </xf>
    <xf numFmtId="3" fontId="6" fillId="0" borderId="0" xfId="0" applyNumberFormat="1" applyFont="1" applyBorder="1" applyAlignment="1">
      <alignment horizontal="right" vertical="center" readingOrder="2"/>
    </xf>
    <xf numFmtId="3" fontId="6" fillId="2" borderId="0" xfId="0" applyNumberFormat="1" applyFont="1" applyFill="1" applyBorder="1" applyAlignment="1">
      <alignment horizontal="center" vertical="center" readingOrder="2"/>
    </xf>
    <xf numFmtId="3" fontId="8" fillId="2" borderId="0" xfId="0" applyNumberFormat="1" applyFont="1" applyFill="1" applyBorder="1" applyAlignment="1">
      <alignment horizontal="center" vertical="center" readingOrder="2"/>
    </xf>
    <xf numFmtId="3" fontId="5" fillId="2" borderId="0" xfId="0" applyNumberFormat="1" applyFont="1" applyFill="1" applyBorder="1" applyAlignment="1">
      <alignment horizontal="center" vertical="center" readingOrder="2"/>
    </xf>
    <xf numFmtId="3" fontId="6" fillId="0" borderId="0" xfId="0" applyNumberFormat="1" applyFont="1" applyBorder="1" applyAlignment="1">
      <alignment horizontal="center" vertical="center" readingOrder="2"/>
    </xf>
    <xf numFmtId="3" fontId="8" fillId="2" borderId="7" xfId="0" applyNumberFormat="1" applyFont="1" applyFill="1" applyBorder="1" applyAlignment="1">
      <alignment horizontal="center" vertical="center" readingOrder="2"/>
    </xf>
    <xf numFmtId="3" fontId="7" fillId="0" borderId="1" xfId="0" applyNumberFormat="1" applyFont="1" applyBorder="1" applyAlignment="1">
      <alignment horizontal="center" vertical="center" wrapText="1" readingOrder="2"/>
    </xf>
    <xf numFmtId="3" fontId="4" fillId="2" borderId="1" xfId="0" applyNumberFormat="1" applyFont="1" applyFill="1" applyBorder="1" applyAlignment="1">
      <alignment horizontal="right" vertical="center" wrapText="1" readingOrder="2"/>
    </xf>
    <xf numFmtId="3" fontId="7" fillId="2" borderId="1" xfId="0" applyNumberFormat="1" applyFont="1" applyFill="1" applyBorder="1" applyAlignment="1">
      <alignment horizontal="center" vertical="center" wrapText="1" readingOrder="2"/>
    </xf>
    <xf numFmtId="3" fontId="4" fillId="0" borderId="1" xfId="0" applyNumberFormat="1" applyFont="1" applyBorder="1" applyAlignment="1">
      <alignment horizontal="right" vertical="center" wrapText="1" readingOrder="2"/>
    </xf>
    <xf numFmtId="3" fontId="4" fillId="2" borderId="1" xfId="0" applyNumberFormat="1" applyFont="1" applyFill="1" applyBorder="1" applyAlignment="1">
      <alignment horizontal="right" vertical="center" readingOrder="2"/>
    </xf>
    <xf numFmtId="3" fontId="4" fillId="0" borderId="1" xfId="0" applyNumberFormat="1" applyFont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center" vertical="center" readingOrder="2"/>
    </xf>
    <xf numFmtId="4" fontId="13" fillId="2" borderId="0" xfId="0" applyNumberFormat="1" applyFont="1" applyFill="1" applyBorder="1" applyAlignment="1">
      <alignment horizontal="center" vertical="center" wrapText="1" readingOrder="2"/>
    </xf>
    <xf numFmtId="4" fontId="13" fillId="2" borderId="0" xfId="0" applyNumberFormat="1" applyFont="1" applyFill="1" applyBorder="1" applyAlignment="1">
      <alignment horizontal="center" vertical="center" readingOrder="2"/>
    </xf>
    <xf numFmtId="4" fontId="13" fillId="2" borderId="0" xfId="0" applyNumberFormat="1" applyFont="1" applyFill="1" applyBorder="1" applyAlignment="1">
      <alignment horizontal="left" vertical="center" readingOrder="1"/>
    </xf>
    <xf numFmtId="3" fontId="17" fillId="2" borderId="0" xfId="0" applyNumberFormat="1" applyFont="1" applyFill="1" applyBorder="1" applyAlignment="1">
      <alignment horizontal="center" vertical="center" wrapText="1" readingOrder="2"/>
    </xf>
    <xf numFmtId="3" fontId="18" fillId="2" borderId="0" xfId="0" applyNumberFormat="1" applyFont="1" applyFill="1" applyBorder="1" applyAlignment="1">
      <alignment horizontal="center" vertical="center" wrapText="1" readingOrder="2"/>
    </xf>
    <xf numFmtId="3" fontId="24" fillId="0" borderId="0" xfId="0" applyNumberFormat="1" applyFont="1" applyBorder="1" applyAlignment="1">
      <alignment horizontal="left" vertical="center" readingOrder="2"/>
    </xf>
    <xf numFmtId="3" fontId="2" fillId="4" borderId="2" xfId="0" applyNumberFormat="1" applyFont="1" applyFill="1" applyBorder="1" applyAlignment="1">
      <alignment horizontal="right" vertical="center" readingOrder="2"/>
    </xf>
    <xf numFmtId="3" fontId="22" fillId="2" borderId="0" xfId="0" applyNumberFormat="1" applyFont="1" applyFill="1" applyBorder="1" applyAlignment="1">
      <alignment horizontal="center" vertical="center" readingOrder="2"/>
    </xf>
    <xf numFmtId="3" fontId="22" fillId="2" borderId="2" xfId="0" applyNumberFormat="1" applyFont="1" applyFill="1" applyBorder="1" applyAlignment="1">
      <alignment horizontal="center" vertical="center" readingOrder="2"/>
    </xf>
    <xf numFmtId="3" fontId="5" fillId="2" borderId="0" xfId="0" applyNumberFormat="1" applyFont="1" applyFill="1" applyBorder="1" applyAlignment="1">
      <alignment horizontal="center" vertical="center" wrapText="1" readingOrder="2"/>
    </xf>
    <xf numFmtId="3" fontId="6" fillId="2" borderId="0" xfId="0" applyNumberFormat="1" applyFont="1" applyFill="1" applyBorder="1" applyAlignment="1">
      <alignment horizontal="center" vertical="center" wrapText="1" readingOrder="2"/>
    </xf>
    <xf numFmtId="3" fontId="5" fillId="0" borderId="0" xfId="0" applyNumberFormat="1" applyFont="1" applyBorder="1" applyAlignment="1">
      <alignment horizontal="center" vertical="center" wrapText="1" readingOrder="2"/>
    </xf>
    <xf numFmtId="3" fontId="15" fillId="2" borderId="0" xfId="0" applyNumberFormat="1" applyFont="1" applyFill="1" applyBorder="1" applyAlignment="1">
      <alignment horizontal="right" vertical="center" wrapText="1" readingOrder="2"/>
    </xf>
    <xf numFmtId="3" fontId="16" fillId="0" borderId="0" xfId="0" applyNumberFormat="1" applyFont="1" applyBorder="1" applyAlignment="1">
      <alignment horizontal="center" vertical="center" readingOrder="2"/>
    </xf>
    <xf numFmtId="3" fontId="20" fillId="0" borderId="0" xfId="0" applyNumberFormat="1" applyFont="1" applyBorder="1" applyAlignment="1">
      <alignment vertical="center" readingOrder="2"/>
    </xf>
    <xf numFmtId="3" fontId="14" fillId="2" borderId="0" xfId="0" applyNumberFormat="1" applyFont="1" applyFill="1" applyBorder="1" applyAlignment="1">
      <alignment horizontal="center" vertical="center" wrapText="1" readingOrder="2"/>
    </xf>
    <xf numFmtId="4" fontId="4" fillId="0" borderId="0" xfId="0" applyNumberFormat="1" applyFont="1" applyBorder="1" applyAlignment="1">
      <alignment horizontal="right" vertical="center" wrapText="1" readingOrder="2"/>
    </xf>
    <xf numFmtId="3" fontId="6" fillId="2" borderId="0" xfId="0" applyNumberFormat="1" applyFont="1" applyFill="1" applyBorder="1" applyAlignment="1">
      <alignment horizontal="right" vertical="center" wrapText="1" readingOrder="2"/>
    </xf>
    <xf numFmtId="0" fontId="0" fillId="2" borderId="0" xfId="0" applyFill="1" applyBorder="1" applyAlignment="1">
      <alignment vertical="center" wrapText="1"/>
    </xf>
    <xf numFmtId="3" fontId="19" fillId="0" borderId="0" xfId="0" applyNumberFormat="1" applyFont="1" applyBorder="1" applyAlignment="1">
      <alignment horizontal="center" vertical="center" readingOrder="2"/>
    </xf>
    <xf numFmtId="3" fontId="19" fillId="2" borderId="0" xfId="0" applyNumberFormat="1" applyFont="1" applyFill="1" applyBorder="1" applyAlignment="1">
      <alignment horizontal="center" vertical="center" readingOrder="2"/>
    </xf>
    <xf numFmtId="3" fontId="4" fillId="2" borderId="6" xfId="0" applyNumberFormat="1" applyFont="1" applyFill="1" applyBorder="1" applyAlignment="1">
      <alignment horizontal="center" vertical="center" wrapText="1" readingOrder="2"/>
    </xf>
    <xf numFmtId="3" fontId="5" fillId="2" borderId="0" xfId="0" applyNumberFormat="1" applyFont="1" applyFill="1" applyBorder="1" applyAlignment="1">
      <alignment horizontal="right" vertical="center" readingOrder="2"/>
    </xf>
    <xf numFmtId="3" fontId="7" fillId="2" borderId="0" xfId="0" applyNumberFormat="1" applyFont="1" applyFill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right" vertical="center" readingOrder="2"/>
    </xf>
    <xf numFmtId="49" fontId="10" fillId="0" borderId="0" xfId="0" applyNumberFormat="1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center" vertical="center" readingOrder="2"/>
    </xf>
    <xf numFmtId="3" fontId="26" fillId="2" borderId="0" xfId="0" applyNumberFormat="1" applyFont="1" applyFill="1" applyBorder="1" applyAlignment="1">
      <alignment horizontal="center" vertical="center" wrapText="1" readingOrder="2"/>
    </xf>
    <xf numFmtId="3" fontId="30" fillId="0" borderId="0" xfId="0" applyNumberFormat="1" applyFont="1" applyBorder="1" applyAlignment="1">
      <alignment horizontal="right" vertical="center" readingOrder="2"/>
    </xf>
    <xf numFmtId="3" fontId="30" fillId="2" borderId="0" xfId="0" applyNumberFormat="1" applyFont="1" applyFill="1" applyBorder="1" applyAlignment="1">
      <alignment horizontal="right" vertical="center" readingOrder="2"/>
    </xf>
    <xf numFmtId="3" fontId="20" fillId="2" borderId="0" xfId="0" applyNumberFormat="1" applyFont="1" applyFill="1" applyBorder="1" applyAlignment="1">
      <alignment horizontal="right" vertical="center" readingOrder="2"/>
    </xf>
    <xf numFmtId="3" fontId="22" fillId="4" borderId="2" xfId="0" applyNumberFormat="1" applyFont="1" applyFill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right" vertical="center" readingOrder="2"/>
    </xf>
    <xf numFmtId="3" fontId="5" fillId="7" borderId="8" xfId="0" applyNumberFormat="1" applyFont="1" applyFill="1" applyBorder="1" applyAlignment="1">
      <alignment horizontal="center" vertical="center" readingOrder="2"/>
    </xf>
    <xf numFmtId="3" fontId="17" fillId="2" borderId="0" xfId="0" applyNumberFormat="1" applyFont="1" applyFill="1" applyBorder="1" applyAlignment="1" applyProtection="1">
      <alignment horizontal="center" vertical="center" readingOrder="2"/>
      <protection locked="0"/>
    </xf>
    <xf numFmtId="3" fontId="16" fillId="2" borderId="0" xfId="0" applyNumberFormat="1" applyFont="1" applyFill="1" applyBorder="1" applyAlignment="1">
      <alignment horizontal="center" vertical="center" readingOrder="2"/>
    </xf>
    <xf numFmtId="3" fontId="21" fillId="2" borderId="0" xfId="0" applyNumberFormat="1" applyFont="1" applyFill="1" applyBorder="1" applyAlignment="1">
      <alignment horizontal="center" vertical="center" readingOrder="2"/>
    </xf>
    <xf numFmtId="0" fontId="0" fillId="0" borderId="0" xfId="0" applyBorder="1" applyAlignment="1">
      <alignment horizontal="center"/>
    </xf>
    <xf numFmtId="3" fontId="32" fillId="0" borderId="0" xfId="0" applyNumberFormat="1" applyFont="1" applyBorder="1" applyAlignment="1" applyProtection="1">
      <alignment horizontal="center" vertical="center" readingOrder="2"/>
      <protection locked="0"/>
    </xf>
    <xf numFmtId="0" fontId="6" fillId="0" borderId="0" xfId="1" applyFont="1" applyBorder="1" applyAlignment="1">
      <alignment horizontal="right" vertical="center" readingOrder="2"/>
    </xf>
    <xf numFmtId="4" fontId="5" fillId="6" borderId="2" xfId="0" applyNumberFormat="1" applyFont="1" applyFill="1" applyBorder="1" applyAlignment="1">
      <alignment horizontal="center" vertical="center" readingOrder="2"/>
    </xf>
    <xf numFmtId="4" fontId="22" fillId="2" borderId="2" xfId="0" applyNumberFormat="1" applyFont="1" applyFill="1" applyBorder="1" applyAlignment="1">
      <alignment horizontal="center" vertical="center" readingOrder="2"/>
    </xf>
    <xf numFmtId="3" fontId="19" fillId="0" borderId="0" xfId="0" applyNumberFormat="1" applyFont="1" applyBorder="1" applyAlignment="1">
      <alignment horizontal="right" vertical="center" readingOrder="2"/>
    </xf>
    <xf numFmtId="10" fontId="4" fillId="8" borderId="2" xfId="4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 applyProtection="1">
      <alignment horizontal="right" vertical="center" readingOrder="2"/>
      <protection locked="0"/>
    </xf>
    <xf numFmtId="0" fontId="4" fillId="2" borderId="0" xfId="0" applyFont="1" applyFill="1" applyBorder="1"/>
    <xf numFmtId="10" fontId="5" fillId="8" borderId="8" xfId="4" applyNumberFormat="1" applyFont="1" applyFill="1" applyBorder="1" applyAlignment="1">
      <alignment horizontal="center" vertical="center" readingOrder="2"/>
    </xf>
    <xf numFmtId="0" fontId="37" fillId="2" borderId="0" xfId="0" applyFont="1" applyFill="1" applyBorder="1" applyAlignment="1">
      <alignment horizontal="center" vertical="center" wrapText="1"/>
    </xf>
    <xf numFmtId="0" fontId="5" fillId="0" borderId="0" xfId="7" applyFont="1" applyBorder="1"/>
    <xf numFmtId="0" fontId="34" fillId="0" borderId="0" xfId="7" applyFont="1" applyBorder="1"/>
    <xf numFmtId="3" fontId="4" fillId="2" borderId="3" xfId="0" applyNumberFormat="1" applyFont="1" applyFill="1" applyBorder="1" applyAlignment="1">
      <alignment horizontal="center" vertical="center" wrapText="1" readingOrder="2"/>
    </xf>
    <xf numFmtId="10" fontId="4" fillId="2" borderId="2" xfId="4" applyNumberFormat="1" applyFont="1" applyFill="1" applyBorder="1" applyAlignment="1">
      <alignment horizontal="center" vertical="center" readingOrder="2"/>
    </xf>
    <xf numFmtId="10" fontId="5" fillId="2" borderId="2" xfId="4" applyNumberFormat="1" applyFont="1" applyFill="1" applyBorder="1" applyAlignment="1">
      <alignment horizontal="center" vertical="center" readingOrder="2"/>
    </xf>
    <xf numFmtId="10" fontId="5" fillId="2" borderId="8" xfId="4" applyNumberFormat="1" applyFont="1" applyFill="1" applyBorder="1" applyAlignment="1">
      <alignment horizontal="center" vertical="center" readingOrder="2"/>
    </xf>
    <xf numFmtId="3" fontId="39" fillId="2" borderId="0" xfId="0" applyNumberFormat="1" applyFont="1" applyFill="1" applyBorder="1" applyAlignment="1">
      <alignment horizontal="center" vertical="center" wrapText="1" readingOrder="2"/>
    </xf>
    <xf numFmtId="3" fontId="39" fillId="0" borderId="0" xfId="0" applyNumberFormat="1" applyFont="1" applyBorder="1" applyAlignment="1">
      <alignment horizontal="right" vertical="center" readingOrder="2"/>
    </xf>
    <xf numFmtId="3" fontId="27" fillId="0" borderId="0" xfId="0" applyNumberFormat="1" applyFont="1" applyBorder="1" applyAlignment="1">
      <alignment horizontal="right" vertical="center" readingOrder="2"/>
    </xf>
    <xf numFmtId="3" fontId="39" fillId="0" borderId="0" xfId="0" applyNumberFormat="1" applyFont="1" applyBorder="1" applyAlignment="1">
      <alignment horizontal="center" vertical="center" readingOrder="2"/>
    </xf>
    <xf numFmtId="3" fontId="27" fillId="2" borderId="0" xfId="0" applyNumberFormat="1" applyFont="1" applyFill="1" applyBorder="1" applyAlignment="1">
      <alignment horizontal="right" vertical="center" readingOrder="2"/>
    </xf>
    <xf numFmtId="0" fontId="41" fillId="0" borderId="0" xfId="0" applyFont="1" applyBorder="1" applyAlignment="1">
      <alignment wrapText="1" readingOrder="2"/>
    </xf>
    <xf numFmtId="3" fontId="42" fillId="0" borderId="0" xfId="0" applyNumberFormat="1" applyFont="1" applyBorder="1" applyAlignment="1">
      <alignment horizontal="right" vertical="center" readingOrder="2"/>
    </xf>
    <xf numFmtId="3" fontId="32" fillId="0" borderId="0" xfId="0" applyNumberFormat="1" applyFont="1" applyBorder="1" applyAlignment="1">
      <alignment horizontal="right" vertical="center" wrapText="1" readingOrder="2"/>
    </xf>
    <xf numFmtId="3" fontId="44" fillId="2" borderId="0" xfId="0" applyNumberFormat="1" applyFont="1" applyFill="1" applyBorder="1" applyAlignment="1">
      <alignment horizontal="center" vertical="center" readingOrder="2"/>
    </xf>
    <xf numFmtId="3" fontId="48" fillId="2" borderId="0" xfId="0" applyNumberFormat="1" applyFont="1" applyFill="1" applyBorder="1" applyAlignment="1">
      <alignment horizontal="center" vertical="center" wrapText="1" readingOrder="2"/>
    </xf>
    <xf numFmtId="3" fontId="23" fillId="2" borderId="0" xfId="0" applyNumberFormat="1" applyFont="1" applyFill="1" applyBorder="1" applyAlignment="1">
      <alignment horizontal="center" vertical="center" wrapText="1" readingOrder="2"/>
    </xf>
    <xf numFmtId="3" fontId="46" fillId="9" borderId="3" xfId="0" applyNumberFormat="1" applyFont="1" applyFill="1" applyBorder="1" applyAlignment="1">
      <alignment vertical="center" wrapText="1" readingOrder="2"/>
    </xf>
    <xf numFmtId="3" fontId="46" fillId="9" borderId="4" xfId="0" applyNumberFormat="1" applyFont="1" applyFill="1" applyBorder="1" applyAlignment="1">
      <alignment vertical="center" wrapText="1" readingOrder="2"/>
    </xf>
    <xf numFmtId="3" fontId="45" fillId="9" borderId="11" xfId="0" applyNumberFormat="1" applyFont="1" applyFill="1" applyBorder="1" applyAlignment="1">
      <alignment horizontal="center" vertical="center" readingOrder="2"/>
    </xf>
    <xf numFmtId="49" fontId="46" fillId="9" borderId="0" xfId="0" applyNumberFormat="1" applyFont="1" applyFill="1" applyBorder="1" applyAlignment="1">
      <alignment vertical="center" readingOrder="2"/>
    </xf>
    <xf numFmtId="49" fontId="47" fillId="9" borderId="0" xfId="0" applyNumberFormat="1" applyFont="1" applyFill="1" applyBorder="1" applyAlignment="1">
      <alignment vertical="center" readingOrder="2"/>
    </xf>
    <xf numFmtId="0" fontId="4" fillId="0" borderId="0" xfId="0" applyFont="1" applyBorder="1" applyAlignment="1">
      <alignment vertical="center"/>
    </xf>
    <xf numFmtId="3" fontId="46" fillId="2" borderId="3" xfId="0" applyNumberFormat="1" applyFont="1" applyFill="1" applyBorder="1" applyAlignment="1">
      <alignment vertical="center" wrapText="1" readingOrder="2"/>
    </xf>
    <xf numFmtId="49" fontId="49" fillId="9" borderId="0" xfId="0" applyNumberFormat="1" applyFont="1" applyFill="1" applyBorder="1" applyAlignment="1">
      <alignment horizontal="right" vertical="center" readingOrder="2"/>
    </xf>
    <xf numFmtId="49" fontId="43" fillId="9" borderId="0" xfId="0" applyNumberFormat="1" applyFont="1" applyFill="1" applyBorder="1" applyAlignment="1">
      <alignment horizontal="left" vertical="center" readingOrder="2"/>
    </xf>
    <xf numFmtId="3" fontId="49" fillId="9" borderId="0" xfId="0" applyNumberFormat="1" applyFont="1" applyFill="1" applyBorder="1" applyAlignment="1">
      <alignment horizontal="left" vertical="center" readingOrder="2"/>
    </xf>
    <xf numFmtId="3" fontId="49" fillId="9" borderId="0" xfId="0" applyNumberFormat="1" applyFont="1" applyFill="1" applyBorder="1" applyAlignment="1">
      <alignment horizontal="center" vertical="center" readingOrder="2"/>
    </xf>
    <xf numFmtId="3" fontId="45" fillId="9" borderId="12" xfId="0" applyNumberFormat="1" applyFont="1" applyFill="1" applyBorder="1" applyAlignment="1">
      <alignment horizontal="center" vertical="center" readingOrder="2"/>
    </xf>
    <xf numFmtId="3" fontId="49" fillId="9" borderId="0" xfId="0" applyNumberFormat="1" applyFont="1" applyFill="1" applyBorder="1" applyAlignment="1">
      <alignment vertical="center" readingOrder="2"/>
    </xf>
    <xf numFmtId="3" fontId="5" fillId="2" borderId="0" xfId="0" applyNumberFormat="1" applyFont="1" applyFill="1" applyBorder="1" applyAlignment="1">
      <alignment horizontal="right" vertical="center" wrapText="1" readingOrder="2"/>
    </xf>
    <xf numFmtId="3" fontId="51" fillId="0" borderId="0" xfId="0" applyNumberFormat="1" applyFont="1" applyBorder="1" applyAlignment="1">
      <alignment horizontal="right" vertical="center" wrapText="1" readingOrder="2"/>
    </xf>
    <xf numFmtId="0" fontId="52" fillId="0" borderId="0" xfId="0" applyFont="1" applyBorder="1"/>
    <xf numFmtId="3" fontId="53" fillId="9" borderId="0" xfId="0" applyNumberFormat="1" applyFont="1" applyFill="1" applyBorder="1" applyAlignment="1">
      <alignment horizontal="center" vertical="center" readingOrder="2"/>
    </xf>
    <xf numFmtId="3" fontId="54" fillId="9" borderId="0" xfId="0" applyNumberFormat="1" applyFont="1" applyFill="1" applyBorder="1" applyAlignment="1">
      <alignment horizontal="center" vertical="center" readingOrder="2"/>
    </xf>
    <xf numFmtId="3" fontId="8" fillId="0" borderId="0" xfId="0" applyNumberFormat="1" applyFont="1" applyBorder="1" applyAlignment="1">
      <alignment horizontal="right" vertical="center" readingOrder="2"/>
    </xf>
    <xf numFmtId="3" fontId="36" fillId="0" borderId="0" xfId="0" applyNumberFormat="1" applyFont="1" applyBorder="1" applyAlignment="1">
      <alignment vertical="center" readingOrder="2"/>
    </xf>
    <xf numFmtId="3" fontId="12" fillId="7" borderId="2" xfId="0" applyNumberFormat="1" applyFont="1" applyFill="1" applyBorder="1" applyAlignment="1">
      <alignment horizontal="center" vertical="center" readingOrder="2"/>
    </xf>
    <xf numFmtId="3" fontId="24" fillId="0" borderId="0" xfId="0" applyNumberFormat="1" applyFont="1" applyBorder="1" applyAlignment="1" applyProtection="1">
      <alignment horizontal="left" vertical="center" readingOrder="2"/>
      <protection hidden="1"/>
    </xf>
    <xf numFmtId="3" fontId="0" fillId="0" borderId="0" xfId="0" applyNumberFormat="1" applyBorder="1" applyAlignment="1" applyProtection="1">
      <alignment horizontal="left" vertical="center" readingOrder="2"/>
      <protection hidden="1"/>
    </xf>
    <xf numFmtId="4" fontId="33" fillId="2" borderId="0" xfId="0" applyNumberFormat="1" applyFont="1" applyFill="1" applyBorder="1" applyAlignment="1">
      <alignment horizontal="center" vertical="center" wrapText="1" readingOrder="2"/>
    </xf>
    <xf numFmtId="4" fontId="57" fillId="2" borderId="0" xfId="0" applyNumberFormat="1" applyFont="1" applyFill="1" applyBorder="1" applyAlignment="1">
      <alignment horizontal="center" vertical="center" readingOrder="1"/>
    </xf>
    <xf numFmtId="4" fontId="13" fillId="2" borderId="0" xfId="0" applyNumberFormat="1" applyFont="1" applyFill="1" applyBorder="1" applyAlignment="1">
      <alignment horizontal="center" vertical="center" readingOrder="1"/>
    </xf>
    <xf numFmtId="4" fontId="4" fillId="2" borderId="2" xfId="0" applyNumberFormat="1" applyFont="1" applyFill="1" applyBorder="1" applyAlignment="1">
      <alignment horizontal="center" vertical="center" readingOrder="2"/>
    </xf>
    <xf numFmtId="0" fontId="34" fillId="0" borderId="0" xfId="0" applyFont="1" applyBorder="1" applyAlignment="1">
      <alignment horizontal="right" vertical="center"/>
    </xf>
    <xf numFmtId="0" fontId="6" fillId="0" borderId="0" xfId="0" applyFont="1" applyBorder="1"/>
    <xf numFmtId="0" fontId="58" fillId="0" borderId="0" xfId="0" applyFont="1" applyBorder="1" applyAlignment="1">
      <alignment horizontal="center" vertical="center" readingOrder="2"/>
    </xf>
    <xf numFmtId="0" fontId="59" fillId="0" borderId="0" xfId="0" applyFont="1" applyBorder="1" applyAlignment="1">
      <alignment readingOrder="1"/>
    </xf>
    <xf numFmtId="0" fontId="60" fillId="0" borderId="0" xfId="0" applyFont="1" applyBorder="1" applyAlignment="1">
      <alignment readingOrder="1"/>
    </xf>
    <xf numFmtId="3" fontId="61" fillId="0" borderId="0" xfId="0" applyNumberFormat="1" applyFont="1" applyBorder="1" applyAlignment="1">
      <alignment horizontal="right" vertical="center" readingOrder="2"/>
    </xf>
    <xf numFmtId="3" fontId="62" fillId="0" borderId="0" xfId="0" applyNumberFormat="1" applyFont="1" applyBorder="1" applyAlignment="1">
      <alignment horizontal="center" vertical="center" readingOrder="2"/>
    </xf>
    <xf numFmtId="0" fontId="60" fillId="0" borderId="0" xfId="0" applyFont="1" applyBorder="1" applyAlignment="1">
      <alignment horizontal="left" indent="1" readingOrder="2"/>
    </xf>
    <xf numFmtId="3" fontId="61" fillId="12" borderId="0" xfId="0" applyNumberFormat="1" applyFont="1" applyFill="1" applyBorder="1" applyAlignment="1">
      <alignment horizontal="right" vertical="center" readingOrder="2"/>
    </xf>
    <xf numFmtId="3" fontId="61" fillId="0" borderId="0" xfId="0" applyNumberFormat="1" applyFont="1" applyBorder="1" applyAlignment="1">
      <alignment horizontal="center" vertical="center" wrapText="1" readingOrder="2"/>
    </xf>
    <xf numFmtId="3" fontId="61" fillId="0" borderId="0" xfId="0" applyNumberFormat="1" applyFont="1" applyBorder="1" applyAlignment="1">
      <alignment horizontal="right" vertical="center" wrapText="1" readingOrder="2"/>
    </xf>
    <xf numFmtId="3" fontId="60" fillId="12" borderId="0" xfId="0" applyNumberFormat="1" applyFont="1" applyFill="1" applyBorder="1" applyAlignment="1">
      <alignment horizontal="right" vertical="center" readingOrder="2"/>
    </xf>
    <xf numFmtId="3" fontId="61" fillId="13" borderId="8" xfId="0" applyNumberFormat="1" applyFont="1" applyFill="1" applyBorder="1" applyAlignment="1">
      <alignment horizontal="left" vertical="center" wrapText="1" readingOrder="2"/>
    </xf>
    <xf numFmtId="3" fontId="61" fillId="13" borderId="8" xfId="0" applyNumberFormat="1" applyFont="1" applyFill="1" applyBorder="1" applyAlignment="1">
      <alignment horizontal="right" vertical="center" wrapText="1" readingOrder="2"/>
    </xf>
    <xf numFmtId="3" fontId="61" fillId="13" borderId="8" xfId="0" applyNumberFormat="1" applyFont="1" applyFill="1" applyBorder="1" applyAlignment="1">
      <alignment horizontal="right" vertical="center" readingOrder="2"/>
    </xf>
    <xf numFmtId="0" fontId="60" fillId="0" borderId="0" xfId="0" applyFont="1" applyBorder="1" applyAlignment="1">
      <alignment horizontal="left" readingOrder="2"/>
    </xf>
    <xf numFmtId="0" fontId="64" fillId="11" borderId="14" xfId="0" applyFont="1" applyFill="1" applyBorder="1" applyAlignment="1">
      <alignment readingOrder="1"/>
    </xf>
    <xf numFmtId="3" fontId="64" fillId="11" borderId="15" xfId="0" applyNumberFormat="1" applyFont="1" applyFill="1" applyBorder="1" applyAlignment="1">
      <alignment horizontal="right" readingOrder="2"/>
    </xf>
    <xf numFmtId="3" fontId="5" fillId="6" borderId="2" xfId="0" applyNumberFormat="1" applyFont="1" applyFill="1" applyBorder="1" applyAlignment="1">
      <alignment horizontal="center" vertical="center" readingOrder="2"/>
    </xf>
    <xf numFmtId="3" fontId="65" fillId="0" borderId="0" xfId="0" applyNumberFormat="1" applyFont="1" applyBorder="1" applyAlignment="1">
      <alignment vertical="center" readingOrder="2"/>
    </xf>
    <xf numFmtId="3" fontId="40" fillId="0" borderId="0" xfId="0" applyNumberFormat="1" applyFont="1" applyBorder="1" applyAlignment="1">
      <alignment horizontal="center" readingOrder="2"/>
    </xf>
    <xf numFmtId="0" fontId="66" fillId="0" borderId="0" xfId="0" applyFont="1" applyBorder="1"/>
    <xf numFmtId="3" fontId="12" fillId="0" borderId="0" xfId="0" applyNumberFormat="1" applyFont="1" applyBorder="1" applyAlignment="1">
      <alignment horizontal="center" vertical="center" readingOrder="1"/>
    </xf>
    <xf numFmtId="3" fontId="6" fillId="4" borderId="2" xfId="0" applyNumberFormat="1" applyFont="1" applyFill="1" applyBorder="1" applyAlignment="1">
      <alignment horizontal="right" vertical="center" readingOrder="2"/>
    </xf>
    <xf numFmtId="3" fontId="12" fillId="0" borderId="0" xfId="0" applyNumberFormat="1" applyFont="1" applyBorder="1" applyAlignment="1">
      <alignment horizontal="center" vertical="center" readingOrder="2"/>
    </xf>
    <xf numFmtId="4" fontId="12" fillId="0" borderId="0" xfId="0" applyNumberFormat="1" applyFont="1" applyBorder="1" applyAlignment="1">
      <alignment horizontal="center" vertical="center" readingOrder="2"/>
    </xf>
    <xf numFmtId="9" fontId="27" fillId="5" borderId="2" xfId="4" applyFont="1" applyFill="1" applyBorder="1" applyAlignment="1">
      <alignment horizontal="center" vertical="center"/>
    </xf>
    <xf numFmtId="9" fontId="27" fillId="0" borderId="0" xfId="4" applyFont="1" applyBorder="1" applyAlignment="1">
      <alignment horizontal="center" vertical="center"/>
    </xf>
    <xf numFmtId="3" fontId="38" fillId="0" borderId="0" xfId="0" applyNumberFormat="1" applyFont="1" applyBorder="1" applyAlignment="1">
      <alignment horizontal="right" vertical="center" readingOrder="2"/>
    </xf>
    <xf numFmtId="3" fontId="14" fillId="0" borderId="0" xfId="0" applyNumberFormat="1" applyFont="1" applyBorder="1" applyAlignment="1">
      <alignment vertical="center" readingOrder="2"/>
    </xf>
    <xf numFmtId="3" fontId="15" fillId="0" borderId="0" xfId="0" applyNumberFormat="1" applyFont="1" applyBorder="1" applyAlignment="1">
      <alignment horizontal="right" vertical="center" readingOrder="2"/>
    </xf>
    <xf numFmtId="3" fontId="15" fillId="2" borderId="0" xfId="0" applyNumberFormat="1" applyFont="1" applyFill="1" applyBorder="1" applyAlignment="1">
      <alignment horizontal="right" vertical="center" readingOrder="2"/>
    </xf>
    <xf numFmtId="3" fontId="38" fillId="2" borderId="0" xfId="0" applyNumberFormat="1" applyFont="1" applyFill="1" applyBorder="1" applyAlignment="1">
      <alignment horizontal="right" vertical="center" readingOrder="2"/>
    </xf>
    <xf numFmtId="3" fontId="14" fillId="2" borderId="0" xfId="0" applyNumberFormat="1" applyFont="1" applyFill="1" applyBorder="1" applyAlignment="1">
      <alignment horizontal="right" vertical="center" readingOrder="2"/>
    </xf>
    <xf numFmtId="0" fontId="68" fillId="0" borderId="0" xfId="0" applyFont="1" applyBorder="1" applyAlignment="1">
      <alignment wrapText="1" readingOrder="2"/>
    </xf>
    <xf numFmtId="0" fontId="69" fillId="0" borderId="0" xfId="0" applyFont="1" applyBorder="1" applyAlignment="1">
      <alignment horizontal="right" readingOrder="2"/>
    </xf>
    <xf numFmtId="0" fontId="70" fillId="0" borderId="0" xfId="0" applyFont="1" applyBorder="1" applyAlignment="1">
      <alignment horizontal="right" vertical="center" readingOrder="2"/>
    </xf>
    <xf numFmtId="0" fontId="71" fillId="0" borderId="0" xfId="0" applyFont="1" applyBorder="1" applyAlignment="1">
      <alignment horizontal="right" readingOrder="2"/>
    </xf>
    <xf numFmtId="3" fontId="8" fillId="2" borderId="0" xfId="0" applyNumberFormat="1" applyFont="1" applyFill="1" applyBorder="1" applyAlignment="1">
      <alignment horizontal="left" vertical="center" readingOrder="2"/>
    </xf>
    <xf numFmtId="3" fontId="5" fillId="7" borderId="2" xfId="0" applyNumberFormat="1" applyFont="1" applyFill="1" applyBorder="1" applyAlignment="1" applyProtection="1">
      <alignment horizontal="center" vertical="center" readingOrder="2"/>
      <protection locked="0"/>
    </xf>
    <xf numFmtId="0" fontId="2" fillId="0" borderId="0" xfId="0" applyFont="1" applyBorder="1" applyAlignment="1">
      <alignment horizontal="right" readingOrder="2"/>
    </xf>
    <xf numFmtId="4" fontId="5" fillId="0" borderId="0" xfId="0" applyNumberFormat="1" applyFont="1" applyBorder="1" applyAlignment="1">
      <alignment horizontal="right" vertical="center" readingOrder="2"/>
    </xf>
    <xf numFmtId="0" fontId="73" fillId="2" borderId="0" xfId="0" applyFont="1" applyFill="1" applyBorder="1" applyAlignment="1" applyProtection="1">
      <alignment vertical="center"/>
      <protection locked="0"/>
    </xf>
    <xf numFmtId="3" fontId="8" fillId="2" borderId="0" xfId="0" applyNumberFormat="1" applyFont="1" applyFill="1" applyBorder="1" applyAlignment="1">
      <alignment horizontal="right" vertical="center" readingOrder="2"/>
    </xf>
    <xf numFmtId="3" fontId="4" fillId="4" borderId="2" xfId="0" applyNumberFormat="1" applyFont="1" applyFill="1" applyBorder="1" applyAlignment="1">
      <alignment horizontal="center" vertical="center" readingOrder="2"/>
    </xf>
    <xf numFmtId="0" fontId="73" fillId="2" borderId="0" xfId="0" applyFont="1" applyFill="1" applyBorder="1" applyProtection="1">
      <protection locked="0"/>
    </xf>
    <xf numFmtId="1" fontId="5" fillId="14" borderId="2" xfId="0" applyNumberFormat="1" applyFont="1" applyFill="1" applyBorder="1" applyAlignment="1">
      <alignment horizontal="center" vertical="center" readingOrder="2"/>
    </xf>
    <xf numFmtId="4" fontId="5" fillId="2" borderId="0" xfId="4" applyNumberFormat="1" applyFont="1" applyFill="1" applyBorder="1" applyAlignment="1">
      <alignment horizontal="center" vertical="center" readingOrder="1"/>
    </xf>
    <xf numFmtId="1" fontId="4" fillId="8" borderId="2" xfId="4" applyNumberFormat="1" applyFont="1" applyFill="1" applyBorder="1" applyAlignment="1">
      <alignment horizontal="center" vertical="center" readingOrder="2"/>
    </xf>
    <xf numFmtId="49" fontId="74" fillId="9" borderId="0" xfId="0" applyNumberFormat="1" applyFont="1" applyFill="1" applyBorder="1" applyAlignment="1">
      <alignment vertical="center" readingOrder="2"/>
    </xf>
    <xf numFmtId="3" fontId="74" fillId="9" borderId="3" xfId="0" applyNumberFormat="1" applyFont="1" applyFill="1" applyBorder="1" applyAlignment="1">
      <alignment vertical="center" wrapText="1" readingOrder="2"/>
    </xf>
    <xf numFmtId="3" fontId="75" fillId="2" borderId="0" xfId="0" applyNumberFormat="1" applyFont="1" applyFill="1" applyBorder="1" applyAlignment="1">
      <alignment horizontal="center" vertical="center" wrapText="1" readingOrder="2"/>
    </xf>
    <xf numFmtId="3" fontId="52" fillId="4" borderId="2" xfId="0" applyNumberFormat="1" applyFont="1" applyFill="1" applyBorder="1" applyAlignment="1">
      <alignment horizontal="center" vertical="center" readingOrder="2"/>
    </xf>
    <xf numFmtId="3" fontId="52" fillId="2" borderId="0" xfId="0" applyNumberFormat="1" applyFont="1" applyFill="1" applyBorder="1" applyAlignment="1">
      <alignment horizontal="right" vertical="center" readingOrder="2"/>
    </xf>
    <xf numFmtId="3" fontId="52" fillId="2" borderId="10" xfId="0" applyNumberFormat="1" applyFont="1" applyFill="1" applyBorder="1" applyAlignment="1">
      <alignment horizontal="right" vertical="center" readingOrder="2"/>
    </xf>
    <xf numFmtId="3" fontId="61" fillId="0" borderId="0" xfId="0" applyNumberFormat="1" applyFont="1" applyBorder="1" applyAlignment="1">
      <alignment horizontal="center" vertical="center" readingOrder="2"/>
    </xf>
    <xf numFmtId="3" fontId="39" fillId="2" borderId="0" xfId="0" applyNumberFormat="1" applyFont="1" applyFill="1" applyBorder="1" applyAlignment="1">
      <alignment horizontal="center" vertical="center" readingOrder="2"/>
    </xf>
    <xf numFmtId="10" fontId="4" fillId="2" borderId="0" xfId="4" applyNumberFormat="1" applyFont="1" applyFill="1" applyBorder="1" applyAlignment="1">
      <alignment horizontal="center" vertical="center" readingOrder="2"/>
    </xf>
    <xf numFmtId="0" fontId="28" fillId="2" borderId="0" xfId="0" applyFont="1" applyFill="1" applyBorder="1" applyAlignment="1">
      <alignment vertical="center"/>
    </xf>
    <xf numFmtId="0" fontId="28" fillId="2" borderId="0" xfId="0" applyFont="1" applyFill="1" applyBorder="1" applyAlignment="1">
      <alignment horizontal="right" vertical="center" wrapText="1"/>
    </xf>
    <xf numFmtId="1" fontId="4" fillId="2" borderId="2" xfId="4" applyNumberFormat="1" applyFont="1" applyFill="1" applyBorder="1" applyAlignment="1">
      <alignment horizontal="center" vertical="center" readingOrder="2"/>
    </xf>
    <xf numFmtId="0" fontId="3" fillId="2" borderId="0" xfId="0" applyFont="1" applyFill="1" applyBorder="1" applyAlignment="1">
      <alignment vertical="center" wrapText="1"/>
    </xf>
    <xf numFmtId="3" fontId="6" fillId="2" borderId="0" xfId="0" applyNumberFormat="1" applyFont="1" applyFill="1" applyBorder="1" applyAlignment="1">
      <alignment horizontal="center" readingOrder="2"/>
    </xf>
    <xf numFmtId="0" fontId="5" fillId="2" borderId="0" xfId="7" applyFont="1" applyFill="1" applyBorder="1"/>
    <xf numFmtId="0" fontId="52" fillId="2" borderId="0" xfId="0" applyFont="1" applyFill="1" applyBorder="1"/>
    <xf numFmtId="3" fontId="27" fillId="2" borderId="2" xfId="0" applyNumberFormat="1" applyFont="1" applyFill="1" applyBorder="1" applyAlignment="1">
      <alignment horizontal="center" vertical="center" readingOrder="2"/>
    </xf>
    <xf numFmtId="2" fontId="27" fillId="2" borderId="2" xfId="0" applyNumberFormat="1" applyFont="1" applyFill="1" applyBorder="1" applyAlignment="1">
      <alignment horizontal="center" vertical="center" readingOrder="2"/>
    </xf>
    <xf numFmtId="0" fontId="66" fillId="2" borderId="0" xfId="0" applyFont="1" applyFill="1" applyBorder="1"/>
    <xf numFmtId="0" fontId="67" fillId="2" borderId="0" xfId="0" applyFont="1" applyFill="1" applyBorder="1"/>
    <xf numFmtId="9" fontId="27" fillId="2" borderId="2" xfId="4" applyFont="1" applyFill="1" applyBorder="1" applyAlignment="1">
      <alignment horizontal="center" vertical="center"/>
    </xf>
    <xf numFmtId="9" fontId="27" fillId="2" borderId="2" xfId="4" applyFont="1" applyFill="1" applyBorder="1" applyAlignment="1">
      <alignment horizontal="center" vertical="center" readingOrder="2"/>
    </xf>
    <xf numFmtId="0" fontId="6" fillId="0" borderId="0" xfId="0" applyFont="1" applyBorder="1" applyAlignment="1">
      <alignment horizontal="right" readingOrder="2"/>
    </xf>
    <xf numFmtId="167" fontId="4" fillId="8" borderId="2" xfId="4" applyNumberFormat="1" applyFont="1" applyFill="1" applyBorder="1" applyAlignment="1">
      <alignment horizontal="center" vertical="center"/>
    </xf>
    <xf numFmtId="167" fontId="4" fillId="2" borderId="2" xfId="4" applyNumberFormat="1" applyFont="1" applyFill="1" applyBorder="1" applyAlignment="1">
      <alignment horizontal="center" vertical="center"/>
    </xf>
    <xf numFmtId="0" fontId="84" fillId="0" borderId="16" xfId="0" applyFont="1"/>
    <xf numFmtId="3" fontId="14" fillId="0" borderId="16" xfId="0" applyNumberFormat="1" applyFont="1" applyAlignment="1">
      <alignment horizontal="center" vertical="center" wrapText="1" readingOrder="2"/>
    </xf>
    <xf numFmtId="3" fontId="15" fillId="0" borderId="16" xfId="0" applyNumberFormat="1" applyFont="1" applyAlignment="1">
      <alignment horizontal="center" vertical="center" wrapText="1" readingOrder="2"/>
    </xf>
    <xf numFmtId="3" fontId="5" fillId="0" borderId="16" xfId="0" applyNumberFormat="1" applyFont="1" applyAlignment="1">
      <alignment horizontal="right" vertical="center" wrapText="1" readingOrder="2"/>
    </xf>
    <xf numFmtId="3" fontId="4" fillId="0" borderId="16" xfId="0" applyNumberFormat="1" applyFont="1" applyAlignment="1">
      <alignment horizontal="center" vertical="center" wrapText="1" readingOrder="2"/>
    </xf>
    <xf numFmtId="3" fontId="30" fillId="0" borderId="0" xfId="0" applyNumberFormat="1" applyFont="1" applyBorder="1" applyAlignment="1">
      <alignment horizontal="right" vertical="center" wrapText="1" readingOrder="2"/>
    </xf>
    <xf numFmtId="0" fontId="83" fillId="0" borderId="0" xfId="0" applyFont="1" applyBorder="1" applyAlignment="1">
      <alignment horizontal="right"/>
    </xf>
    <xf numFmtId="3" fontId="3" fillId="4" borderId="2" xfId="0" applyNumberFormat="1" applyFont="1" applyFill="1" applyBorder="1" applyAlignment="1">
      <alignment horizontal="center" vertical="center" readingOrder="2"/>
    </xf>
    <xf numFmtId="10" fontId="5" fillId="8" borderId="22" xfId="4" applyNumberFormat="1" applyFont="1" applyFill="1" applyBorder="1" applyAlignment="1">
      <alignment horizontal="center" vertical="center" readingOrder="2"/>
    </xf>
    <xf numFmtId="0" fontId="3" fillId="4" borderId="8" xfId="0" applyFont="1" applyFill="1" applyBorder="1" applyAlignment="1">
      <alignment horizontal="center" vertical="center" readingOrder="2"/>
    </xf>
    <xf numFmtId="10" fontId="5" fillId="8" borderId="23" xfId="4" applyNumberFormat="1" applyFont="1" applyFill="1" applyBorder="1" applyAlignment="1">
      <alignment horizontal="center" vertical="center" readingOrder="2"/>
    </xf>
    <xf numFmtId="10" fontId="5" fillId="8" borderId="19" xfId="4" applyNumberFormat="1" applyFont="1" applyFill="1" applyBorder="1" applyAlignment="1">
      <alignment horizontal="center" vertical="center" readingOrder="2"/>
    </xf>
    <xf numFmtId="3" fontId="4" fillId="2" borderId="20" xfId="0" applyNumberFormat="1" applyFont="1" applyFill="1" applyBorder="1" applyAlignment="1">
      <alignment horizontal="center" vertical="center" readingOrder="2"/>
    </xf>
    <xf numFmtId="3" fontId="5" fillId="7" borderId="19" xfId="0" applyNumberFormat="1" applyFont="1" applyFill="1" applyBorder="1" applyAlignment="1" applyProtection="1">
      <alignment horizontal="center" vertical="center" readingOrder="2"/>
      <protection locked="0"/>
    </xf>
    <xf numFmtId="3" fontId="72" fillId="0" borderId="0" xfId="0" applyNumberFormat="1" applyFont="1" applyBorder="1" applyAlignment="1">
      <alignment horizontal="right" vertical="center" readingOrder="2"/>
    </xf>
    <xf numFmtId="0" fontId="79" fillId="0" borderId="0" xfId="0" applyFont="1" applyBorder="1" applyAlignment="1">
      <alignment horizontal="right" vertical="center" readingOrder="2"/>
    </xf>
    <xf numFmtId="3" fontId="12" fillId="4" borderId="2" xfId="0" applyNumberFormat="1" applyFont="1" applyFill="1" applyBorder="1" applyAlignment="1">
      <alignment horizontal="center" vertical="center" readingOrder="2"/>
    </xf>
    <xf numFmtId="3" fontId="3" fillId="4" borderId="8" xfId="0" applyNumberFormat="1" applyFont="1" applyFill="1" applyBorder="1" applyAlignment="1">
      <alignment horizontal="center" vertical="center" readingOrder="2"/>
    </xf>
    <xf numFmtId="3" fontId="19" fillId="0" borderId="0" xfId="0" applyNumberFormat="1" applyFont="1" applyBorder="1" applyAlignment="1">
      <alignment horizontal="center" vertical="center" indent="1" readingOrder="2"/>
    </xf>
    <xf numFmtId="3" fontId="29" fillId="0" borderId="0" xfId="0" applyNumberFormat="1" applyFont="1" applyBorder="1" applyAlignment="1">
      <alignment vertical="center" readingOrder="2"/>
    </xf>
    <xf numFmtId="0" fontId="55" fillId="0" borderId="0" xfId="0" applyFont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 indent="1" readingOrder="2"/>
    </xf>
    <xf numFmtId="3" fontId="80" fillId="0" borderId="0" xfId="0" applyNumberFormat="1" applyFont="1" applyBorder="1" applyAlignment="1">
      <alignment vertical="center" readingOrder="2"/>
    </xf>
    <xf numFmtId="3" fontId="8" fillId="0" borderId="0" xfId="0" applyNumberFormat="1" applyFont="1" applyBorder="1" applyAlignment="1">
      <alignment horizontal="left" vertical="center" readingOrder="1"/>
    </xf>
    <xf numFmtId="3" fontId="6" fillId="0" borderId="0" xfId="0" applyNumberFormat="1" applyFont="1" applyBorder="1" applyAlignment="1">
      <alignment horizontal="center" indent="1" readingOrder="2"/>
    </xf>
    <xf numFmtId="4" fontId="12" fillId="5" borderId="19" xfId="0" applyNumberFormat="1" applyFont="1" applyFill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right" readingOrder="2"/>
    </xf>
    <xf numFmtId="3" fontId="8" fillId="2" borderId="20" xfId="0" applyNumberFormat="1" applyFont="1" applyFill="1" applyBorder="1" applyAlignment="1">
      <alignment horizontal="center" vertical="center" readingOrder="2"/>
    </xf>
    <xf numFmtId="3" fontId="12" fillId="5" borderId="21" xfId="0" applyNumberFormat="1" applyFont="1" applyFill="1" applyBorder="1" applyAlignment="1">
      <alignment horizontal="center" vertical="center" readingOrder="1"/>
    </xf>
    <xf numFmtId="3" fontId="40" fillId="0" borderId="0" xfId="0" applyNumberFormat="1" applyFont="1" applyBorder="1" applyAlignment="1">
      <alignment horizontal="center" indent="1" readingOrder="2"/>
    </xf>
    <xf numFmtId="3" fontId="82" fillId="0" borderId="0" xfId="0" applyNumberFormat="1" applyFont="1" applyBorder="1" applyAlignment="1">
      <alignment horizontal="center" indent="1" readingOrder="2"/>
    </xf>
    <xf numFmtId="3" fontId="81" fillId="0" borderId="0" xfId="0" applyNumberFormat="1" applyFont="1" applyBorder="1" applyAlignment="1">
      <alignment vertical="center" readingOrder="2"/>
    </xf>
    <xf numFmtId="3" fontId="0" fillId="0" borderId="0" xfId="0" applyNumberFormat="1" applyBorder="1" applyAlignment="1">
      <alignment horizontal="right" vertical="center" readingOrder="2"/>
    </xf>
    <xf numFmtId="3" fontId="22" fillId="0" borderId="0" xfId="0" applyNumberFormat="1" applyFont="1" applyBorder="1" applyAlignment="1" applyProtection="1">
      <alignment vertical="center" wrapText="1" readingOrder="2"/>
      <protection hidden="1"/>
    </xf>
    <xf numFmtId="3" fontId="6" fillId="0" borderId="0" xfId="0" applyNumberFormat="1" applyFont="1" applyBorder="1" applyAlignment="1">
      <alignment horizontal="right" vertical="center" wrapText="1" readingOrder="2"/>
    </xf>
    <xf numFmtId="0" fontId="8" fillId="2" borderId="0" xfId="0" applyFont="1" applyFill="1" applyBorder="1" applyAlignment="1">
      <alignment horizontal="right" vertical="center" readingOrder="2"/>
    </xf>
    <xf numFmtId="3" fontId="65" fillId="0" borderId="0" xfId="0" applyNumberFormat="1" applyFont="1" applyBorder="1" applyAlignment="1">
      <alignment horizontal="right" vertical="center" readingOrder="2"/>
    </xf>
    <xf numFmtId="3" fontId="40" fillId="0" borderId="0" xfId="0" applyNumberFormat="1" applyFont="1" applyBorder="1" applyAlignment="1">
      <alignment horizontal="right" vertical="center" readingOrder="2"/>
    </xf>
    <xf numFmtId="3" fontId="82" fillId="0" borderId="0" xfId="0" applyNumberFormat="1" applyFont="1" applyBorder="1" applyAlignment="1">
      <alignment horizontal="center" vertical="center" readingOrder="2"/>
    </xf>
    <xf numFmtId="3" fontId="4" fillId="0" borderId="0" xfId="0" applyNumberFormat="1" applyFont="1" applyBorder="1" applyAlignment="1">
      <alignment horizontal="center" vertical="center" wrapText="1" readingOrder="2"/>
    </xf>
    <xf numFmtId="3" fontId="6" fillId="0" borderId="0" xfId="0" applyNumberFormat="1" applyFont="1" applyBorder="1" applyAlignment="1">
      <alignment horizontal="center" vertical="center" wrapText="1" readingOrder="2"/>
    </xf>
    <xf numFmtId="3" fontId="39" fillId="0" borderId="0" xfId="0" applyNumberFormat="1" applyFont="1" applyBorder="1" applyAlignment="1">
      <alignment horizontal="center" vertical="center" wrapText="1" readingOrder="2"/>
    </xf>
    <xf numFmtId="3" fontId="4" fillId="2" borderId="0" xfId="0" applyNumberFormat="1" applyFont="1" applyFill="1" applyBorder="1" applyAlignment="1">
      <alignment horizontal="right" vertical="center" wrapText="1" readingOrder="2"/>
    </xf>
    <xf numFmtId="3" fontId="4" fillId="2" borderId="16" xfId="0" applyNumberFormat="1" applyFont="1" applyFill="1" applyAlignment="1">
      <alignment horizontal="center" vertical="center" wrapText="1" readingOrder="2"/>
    </xf>
    <xf numFmtId="164" fontId="13" fillId="0" borderId="0" xfId="0" applyNumberFormat="1" applyFont="1" applyBorder="1" applyAlignment="1">
      <alignment horizontal="center" vertical="center" wrapText="1" readingOrder="2"/>
    </xf>
    <xf numFmtId="164" fontId="13" fillId="2" borderId="0" xfId="0" applyNumberFormat="1" applyFont="1" applyFill="1" applyBorder="1" applyAlignment="1">
      <alignment horizontal="center" vertical="center" wrapText="1" readingOrder="2"/>
    </xf>
    <xf numFmtId="164" fontId="38" fillId="2" borderId="0" xfId="0" applyNumberFormat="1" applyFont="1" applyFill="1" applyBorder="1" applyAlignment="1">
      <alignment horizontal="center" vertical="center" readingOrder="2"/>
    </xf>
    <xf numFmtId="164" fontId="19" fillId="2" borderId="0" xfId="0" applyNumberFormat="1" applyFont="1" applyFill="1" applyBorder="1" applyAlignment="1">
      <alignment horizontal="center" vertical="top" wrapText="1" readingOrder="2"/>
    </xf>
    <xf numFmtId="164" fontId="17" fillId="3" borderId="5" xfId="0" applyNumberFormat="1" applyFont="1" applyFill="1" applyBorder="1" applyAlignment="1">
      <alignment horizontal="center" vertical="center" readingOrder="2"/>
    </xf>
    <xf numFmtId="164" fontId="56" fillId="2" borderId="0" xfId="0" applyNumberFormat="1" applyFont="1" applyFill="1" applyBorder="1" applyAlignment="1">
      <alignment horizontal="center" vertical="center" readingOrder="1"/>
    </xf>
    <xf numFmtId="164" fontId="4" fillId="2" borderId="0" xfId="0" applyNumberFormat="1" applyFont="1" applyFill="1" applyBorder="1" applyAlignment="1">
      <alignment horizontal="right" vertical="center" wrapText="1" readingOrder="2"/>
    </xf>
    <xf numFmtId="164" fontId="14" fillId="3" borderId="2" xfId="0" applyNumberFormat="1" applyFont="1" applyFill="1" applyBorder="1" applyAlignment="1">
      <alignment horizontal="center" vertical="center" wrapText="1" readingOrder="2"/>
    </xf>
    <xf numFmtId="164" fontId="57" fillId="2" borderId="0" xfId="0" applyNumberFormat="1" applyFont="1" applyFill="1" applyBorder="1" applyAlignment="1">
      <alignment horizontal="center" vertical="center" readingOrder="1"/>
    </xf>
    <xf numFmtId="164" fontId="4" fillId="0" borderId="16" xfId="0" applyNumberFormat="1" applyFont="1" applyAlignment="1">
      <alignment horizontal="right" vertical="center" wrapText="1" readingOrder="2"/>
    </xf>
    <xf numFmtId="164" fontId="14" fillId="2" borderId="0" xfId="0" applyNumberFormat="1" applyFont="1" applyFill="1" applyBorder="1" applyAlignment="1">
      <alignment horizontal="center" vertical="center" wrapText="1" readingOrder="2"/>
    </xf>
    <xf numFmtId="164" fontId="14" fillId="0" borderId="16" xfId="0" applyNumberFormat="1" applyFont="1" applyAlignment="1">
      <alignment horizontal="center" vertical="center" wrapText="1" readingOrder="2"/>
    </xf>
    <xf numFmtId="164" fontId="50" fillId="0" borderId="0" xfId="0" applyNumberFormat="1" applyFont="1" applyBorder="1" applyAlignment="1">
      <alignment horizontal="right" readingOrder="2"/>
    </xf>
    <xf numFmtId="164" fontId="9" fillId="0" borderId="0" xfId="0" applyNumberFormat="1" applyFont="1" applyBorder="1" applyAlignment="1">
      <alignment horizontal="right" vertical="center" readingOrder="2"/>
    </xf>
    <xf numFmtId="164" fontId="29" fillId="0" borderId="0" xfId="0" applyNumberFormat="1" applyFont="1" applyBorder="1" applyAlignment="1">
      <alignment vertical="center" readingOrder="2"/>
    </xf>
    <xf numFmtId="165" fontId="16" fillId="0" borderId="0" xfId="0" applyNumberFormat="1" applyFont="1" applyBorder="1" applyAlignment="1">
      <alignment horizontal="left" vertical="center"/>
    </xf>
    <xf numFmtId="164" fontId="16" fillId="2" borderId="9" xfId="0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Border="1" applyAlignment="1">
      <alignment horizontal="right" vertical="center" readingOrder="2"/>
    </xf>
    <xf numFmtId="165" fontId="8" fillId="0" borderId="0" xfId="0" applyNumberFormat="1" applyFont="1" applyBorder="1" applyAlignment="1">
      <alignment horizontal="left" vertical="center" readingOrder="1"/>
    </xf>
    <xf numFmtId="166" fontId="16" fillId="2" borderId="9" xfId="0" applyNumberFormat="1" applyFont="1" applyFill="1" applyBorder="1" applyAlignment="1">
      <alignment horizontal="center" vertical="center" wrapText="1" readingOrder="1"/>
    </xf>
    <xf numFmtId="165" fontId="10" fillId="0" borderId="0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right" vertical="center" readingOrder="2"/>
    </xf>
    <xf numFmtId="166" fontId="14" fillId="3" borderId="18" xfId="0" applyNumberFormat="1" applyFont="1" applyFill="1" applyBorder="1" applyAlignment="1">
      <alignment horizontal="center" vertical="center" readingOrder="2"/>
    </xf>
    <xf numFmtId="164" fontId="4" fillId="0" borderId="0" xfId="0" applyNumberFormat="1" applyFont="1" applyBorder="1" applyAlignment="1">
      <alignment horizontal="right" vertical="center" readingOrder="2"/>
    </xf>
    <xf numFmtId="164" fontId="3" fillId="4" borderId="8" xfId="0" applyNumberFormat="1" applyFont="1" applyFill="1" applyBorder="1" applyAlignment="1">
      <alignment horizontal="center" vertical="center" readingOrder="2"/>
    </xf>
    <xf numFmtId="165" fontId="10" fillId="0" borderId="0" xfId="0" applyNumberFormat="1" applyFont="1" applyBorder="1" applyAlignment="1">
      <alignment horizontal="center" vertical="center"/>
    </xf>
    <xf numFmtId="164" fontId="14" fillId="3" borderId="5" xfId="0" applyNumberFormat="1" applyFont="1" applyFill="1" applyBorder="1" applyAlignment="1">
      <alignment horizontal="center" vertical="center" readingOrder="2"/>
    </xf>
    <xf numFmtId="164" fontId="34" fillId="0" borderId="0" xfId="0" applyNumberFormat="1" applyFont="1" applyBorder="1" applyAlignment="1">
      <alignment horizontal="right" vertical="center" readingOrder="2"/>
    </xf>
    <xf numFmtId="165" fontId="16" fillId="0" borderId="0" xfId="0" applyNumberFormat="1" applyFont="1" applyBorder="1" applyAlignment="1">
      <alignment horizontal="left" vertical="center" readingOrder="1"/>
    </xf>
    <xf numFmtId="164" fontId="12" fillId="4" borderId="2" xfId="0" applyNumberFormat="1" applyFont="1" applyFill="1" applyBorder="1" applyAlignment="1">
      <alignment horizontal="center" vertical="center" readingOrder="2"/>
    </xf>
    <xf numFmtId="164" fontId="17" fillId="2" borderId="0" xfId="0" applyNumberFormat="1" applyFont="1" applyFill="1" applyBorder="1" applyAlignment="1">
      <alignment horizontal="center" vertical="center" readingOrder="2"/>
    </xf>
    <xf numFmtId="166" fontId="14" fillId="3" borderId="5" xfId="0" applyNumberFormat="1" applyFont="1" applyFill="1" applyBorder="1" applyAlignment="1">
      <alignment horizontal="center" vertical="center" readingOrder="1"/>
    </xf>
    <xf numFmtId="165" fontId="5" fillId="0" borderId="0" xfId="0" applyNumberFormat="1" applyFont="1" applyBorder="1" applyAlignment="1">
      <alignment horizontal="left" vertical="center" readingOrder="2"/>
    </xf>
    <xf numFmtId="164" fontId="5" fillId="2" borderId="2" xfId="0" applyNumberFormat="1" applyFont="1" applyFill="1" applyBorder="1" applyAlignment="1">
      <alignment horizontal="center" vertical="center" readingOrder="2"/>
    </xf>
    <xf numFmtId="164" fontId="16" fillId="2" borderId="2" xfId="0" applyNumberFormat="1" applyFont="1" applyFill="1" applyBorder="1" applyAlignment="1">
      <alignment horizontal="center" vertical="center" readingOrder="2"/>
    </xf>
    <xf numFmtId="165" fontId="4" fillId="2" borderId="0" xfId="0" applyNumberFormat="1" applyFont="1" applyFill="1" applyBorder="1" applyAlignment="1">
      <alignment horizontal="left" vertical="center"/>
    </xf>
    <xf numFmtId="164" fontId="36" fillId="0" borderId="0" xfId="0" applyNumberFormat="1" applyFont="1" applyBorder="1" applyAlignment="1">
      <alignment horizontal="right" vertical="center" readingOrder="2"/>
    </xf>
    <xf numFmtId="166" fontId="14" fillId="3" borderId="5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Border="1" applyAlignment="1">
      <alignment horizontal="right" vertical="center" indent="1" readingOrder="2"/>
    </xf>
    <xf numFmtId="164" fontId="5" fillId="6" borderId="2" xfId="0" applyNumberFormat="1" applyFont="1" applyFill="1" applyBorder="1" applyAlignment="1">
      <alignment horizontal="center" vertical="center" readingOrder="2"/>
    </xf>
    <xf numFmtId="164" fontId="11" fillId="0" borderId="0" xfId="0" applyNumberFormat="1" applyFont="1" applyBorder="1" applyAlignment="1">
      <alignment horizontal="right" vertical="center" readingOrder="2"/>
    </xf>
    <xf numFmtId="164" fontId="11" fillId="0" borderId="0" xfId="0" applyNumberFormat="1" applyFont="1" applyBorder="1" applyAlignment="1">
      <alignment horizontal="right" vertical="center" indent="1" readingOrder="2"/>
    </xf>
    <xf numFmtId="164" fontId="3" fillId="4" borderId="2" xfId="0" applyNumberFormat="1" applyFont="1" applyFill="1" applyBorder="1" applyAlignment="1">
      <alignment horizontal="center" vertical="center" readingOrder="2"/>
    </xf>
    <xf numFmtId="164" fontId="11" fillId="2" borderId="0" xfId="0" applyNumberFormat="1" applyFont="1" applyFill="1" applyBorder="1" applyAlignment="1">
      <alignment horizontal="right" vertical="center" indent="1" readingOrder="2"/>
    </xf>
    <xf numFmtId="164" fontId="19" fillId="0" borderId="0" xfId="0" applyNumberFormat="1" applyFont="1" applyBorder="1" applyAlignment="1">
      <alignment horizontal="right" vertical="center" readingOrder="2"/>
    </xf>
    <xf numFmtId="164" fontId="17" fillId="15" borderId="17" xfId="0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Border="1" applyAlignment="1">
      <alignment horizontal="center" vertical="center" readingOrder="2"/>
    </xf>
    <xf numFmtId="166" fontId="14" fillId="16" borderId="5" xfId="0" applyNumberFormat="1" applyFont="1" applyFill="1" applyBorder="1" applyAlignment="1">
      <alignment horizontal="center" vertical="center" readingOrder="2"/>
    </xf>
    <xf numFmtId="166" fontId="17" fillId="15" borderId="24" xfId="0" applyNumberFormat="1" applyFont="1" applyFill="1" applyBorder="1" applyAlignment="1">
      <alignment horizontal="center" vertical="center" readingOrder="2"/>
    </xf>
    <xf numFmtId="166" fontId="17" fillId="15" borderId="17" xfId="0" applyNumberFormat="1" applyFont="1" applyFill="1" applyBorder="1" applyAlignment="1">
      <alignment horizontal="center" vertical="center" readingOrder="2"/>
    </xf>
    <xf numFmtId="164" fontId="60" fillId="0" borderId="0" xfId="0" applyNumberFormat="1" applyFont="1" applyBorder="1" applyAlignment="1">
      <alignment horizontal="right" vertical="center" readingOrder="2"/>
    </xf>
    <xf numFmtId="164" fontId="40" fillId="0" borderId="0" xfId="0" applyNumberFormat="1" applyFont="1" applyBorder="1" applyAlignment="1">
      <alignment horizontal="right" vertical="center" readingOrder="2"/>
    </xf>
    <xf numFmtId="166" fontId="27" fillId="5" borderId="2" xfId="0" applyNumberFormat="1" applyFont="1" applyFill="1" applyBorder="1" applyAlignment="1">
      <alignment horizontal="center" vertical="center" readingOrder="2"/>
    </xf>
    <xf numFmtId="166" fontId="27" fillId="0" borderId="0" xfId="0" applyNumberFormat="1" applyFont="1" applyBorder="1" applyAlignment="1">
      <alignment horizontal="center" vertical="center" readingOrder="2"/>
    </xf>
    <xf numFmtId="165" fontId="10" fillId="0" borderId="20" xfId="0" applyNumberFormat="1" applyFont="1" applyBorder="1" applyAlignment="1">
      <alignment horizontal="left" vertical="center"/>
    </xf>
    <xf numFmtId="166" fontId="17" fillId="0" borderId="0" xfId="0" applyNumberFormat="1" applyFont="1" applyBorder="1" applyAlignment="1">
      <alignment horizontal="center" vertical="center" wrapText="1" readingOrder="1"/>
    </xf>
    <xf numFmtId="166" fontId="27" fillId="5" borderId="21" xfId="0" applyNumberFormat="1" applyFont="1" applyFill="1" applyBorder="1" applyAlignment="1">
      <alignment horizontal="center" vertical="center" readingOrder="2"/>
    </xf>
    <xf numFmtId="168" fontId="22" fillId="10" borderId="2" xfId="0" applyNumberFormat="1" applyFont="1" applyFill="1" applyBorder="1" applyAlignment="1" applyProtection="1">
      <alignment horizontal="center" vertical="center" wrapText="1" readingOrder="2"/>
      <protection hidden="1"/>
    </xf>
    <xf numFmtId="169" fontId="25" fillId="4" borderId="4" xfId="0" applyNumberFormat="1" applyFont="1" applyFill="1" applyBorder="1" applyAlignment="1">
      <alignment vertical="center" wrapText="1" readingOrder="2"/>
    </xf>
    <xf numFmtId="169" fontId="22" fillId="10" borderId="2" xfId="0" applyNumberFormat="1" applyFont="1" applyFill="1" applyBorder="1" applyAlignment="1" applyProtection="1">
      <alignment horizontal="center" vertical="center" wrapText="1" readingOrder="2"/>
      <protection hidden="1"/>
    </xf>
    <xf numFmtId="164" fontId="39" fillId="0" borderId="0" xfId="0" applyNumberFormat="1" applyFont="1" applyBorder="1" applyAlignment="1">
      <alignment horizontal="right" vertical="center" indent="1" readingOrder="2"/>
    </xf>
    <xf numFmtId="169" fontId="64" fillId="13" borderId="14" xfId="0" applyNumberFormat="1" applyFont="1" applyFill="1" applyBorder="1" applyAlignment="1">
      <alignment horizontal="left" vertical="center" readingOrder="2"/>
    </xf>
    <xf numFmtId="169" fontId="64" fillId="13" borderId="14" xfId="0" applyNumberFormat="1" applyFont="1" applyFill="1" applyBorder="1" applyAlignment="1">
      <alignment horizontal="right" vertical="center" readingOrder="2"/>
    </xf>
    <xf numFmtId="169" fontId="76" fillId="13" borderId="14" xfId="0" applyNumberFormat="1" applyFont="1" applyFill="1" applyBorder="1" applyAlignment="1">
      <alignment horizontal="left" vertical="center" readingOrder="2"/>
    </xf>
    <xf numFmtId="164" fontId="77" fillId="0" borderId="0" xfId="0" applyNumberFormat="1" applyFont="1" applyBorder="1" applyAlignment="1">
      <alignment horizontal="right" vertical="center" indent="1" readingOrder="2"/>
    </xf>
    <xf numFmtId="164" fontId="50" fillId="2" borderId="0" xfId="0" applyNumberFormat="1" applyFont="1" applyFill="1" applyBorder="1" applyAlignment="1">
      <alignment horizontal="right" readingOrder="2"/>
    </xf>
    <xf numFmtId="164" fontId="29" fillId="2" borderId="0" xfId="0" applyNumberFormat="1" applyFont="1" applyFill="1" applyBorder="1" applyAlignment="1">
      <alignment vertical="center" readingOrder="2"/>
    </xf>
    <xf numFmtId="164" fontId="5" fillId="2" borderId="0" xfId="0" applyNumberFormat="1" applyFont="1" applyFill="1" applyBorder="1" applyAlignment="1">
      <alignment horizontal="right" vertical="center" readingOrder="2"/>
    </xf>
    <xf numFmtId="164" fontId="4" fillId="2" borderId="0" xfId="0" applyNumberFormat="1" applyFont="1" applyFill="1" applyBorder="1" applyAlignment="1">
      <alignment horizontal="right" vertical="center" readingOrder="2"/>
    </xf>
    <xf numFmtId="165" fontId="10" fillId="2" borderId="0" xfId="0" applyNumberFormat="1" applyFont="1" applyFill="1" applyBorder="1" applyAlignment="1">
      <alignment horizontal="right" vertical="center"/>
    </xf>
    <xf numFmtId="164" fontId="22" fillId="2" borderId="2" xfId="0" applyNumberFormat="1" applyFont="1" applyFill="1" applyBorder="1" applyAlignment="1">
      <alignment horizontal="center" vertical="center" readingOrder="2"/>
    </xf>
    <xf numFmtId="166" fontId="27" fillId="2" borderId="2" xfId="0" applyNumberFormat="1" applyFont="1" applyFill="1" applyBorder="1" applyAlignment="1">
      <alignment horizontal="center" vertical="center" readingOrder="2"/>
    </xf>
    <xf numFmtId="3" fontId="22" fillId="10" borderId="2" xfId="0" applyNumberFormat="1" applyFont="1" applyFill="1" applyBorder="1" applyAlignment="1" applyProtection="1">
      <alignment horizontal="right" vertical="center" wrapText="1" readingOrder="2"/>
      <protection hidden="1"/>
    </xf>
    <xf numFmtId="0" fontId="0" fillId="0" borderId="4" xfId="0" applyBorder="1" applyProtection="1">
      <protection hidden="1"/>
    </xf>
    <xf numFmtId="3" fontId="61" fillId="13" borderId="2" xfId="0" applyNumberFormat="1" applyFont="1" applyFill="1" applyBorder="1" applyAlignment="1">
      <alignment horizontal="right" vertical="center" indent="2" readingOrder="2"/>
    </xf>
    <xf numFmtId="0" fontId="0" fillId="0" borderId="4" xfId="0" applyBorder="1"/>
    <xf numFmtId="0" fontId="60" fillId="11" borderId="2" xfId="0" applyFont="1" applyFill="1" applyBorder="1" applyAlignment="1">
      <alignment horizontal="center" readingOrder="2"/>
    </xf>
    <xf numFmtId="0" fontId="0" fillId="0" borderId="3" xfId="0" applyBorder="1"/>
    <xf numFmtId="3" fontId="63" fillId="13" borderId="2" xfId="0" applyNumberFormat="1" applyFont="1" applyFill="1" applyBorder="1" applyAlignment="1">
      <alignment horizontal="center" vertical="center" readingOrder="2"/>
    </xf>
    <xf numFmtId="0" fontId="60" fillId="11" borderId="2" xfId="0" applyFont="1" applyFill="1" applyBorder="1" applyAlignment="1">
      <alignment horizontal="center" readingOrder="1"/>
    </xf>
    <xf numFmtId="3" fontId="60" fillId="13" borderId="2" xfId="0" applyNumberFormat="1" applyFont="1" applyFill="1" applyBorder="1" applyAlignment="1">
      <alignment horizontal="center" vertical="center" wrapText="1" readingOrder="2"/>
    </xf>
    <xf numFmtId="3" fontId="14" fillId="2" borderId="13" xfId="0" applyNumberFormat="1" applyFont="1" applyFill="1" applyBorder="1" applyAlignment="1">
      <alignment horizontal="left" vertical="center" wrapText="1" readingOrder="2"/>
    </xf>
    <xf numFmtId="0" fontId="0" fillId="0" borderId="13" xfId="0" applyBorder="1"/>
    <xf numFmtId="3" fontId="4" fillId="0" borderId="0" xfId="0" applyNumberFormat="1" applyFont="1" applyBorder="1" applyAlignment="1">
      <alignment horizontal="center" vertical="center" wrapText="1" readingOrder="2"/>
    </xf>
    <xf numFmtId="3" fontId="31" fillId="2" borderId="16" xfId="0" applyNumberFormat="1" applyFont="1" applyFill="1" applyAlignment="1">
      <alignment horizontal="right" vertical="center" wrapText="1" indent="1" readingOrder="1"/>
    </xf>
    <xf numFmtId="164" fontId="13" fillId="0" borderId="0" xfId="0" applyNumberFormat="1" applyFont="1" applyBorder="1" applyAlignment="1">
      <alignment horizontal="center" vertical="center" wrapText="1" readingOrder="2"/>
    </xf>
    <xf numFmtId="3" fontId="60" fillId="13" borderId="2" xfId="0" applyNumberFormat="1" applyFont="1" applyFill="1" applyBorder="1" applyAlignment="1">
      <alignment horizontal="center" vertical="center" readingOrder="2"/>
    </xf>
  </cellXfs>
  <cellStyles count="9">
    <cellStyle name="Hyperlink 2" xfId="8" xr:uid="{00000000-0005-0000-0000-000008000000}"/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00000000-0005-0000-0000-000005000000}"/>
    <cellStyle name="Normal 4" xfId="3" xr:uid="{00000000-0005-0000-0000-000003000000}"/>
    <cellStyle name="Normal 4 2" xfId="6" xr:uid="{00000000-0005-0000-0000-000006000000}"/>
    <cellStyle name="Normal 4 2 2" xfId="7" xr:uid="{00000000-0005-0000-0000-000007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(Main!$D$6,Main!$C$8,Main!$C$10,Main!$C$12,Main!$C$14,Main!$C$18,Main!$C$20,Main!$C$22,Main!$C$24,Main!$C$26,Main!$C$28)</c:f>
              <c:strCache>
                <c:ptCount val="7"/>
                <c:pt idx="1">
                  <c:v>מדגם תעריפים</c:v>
                </c:pt>
                <c:pt idx="2">
                  <c:v>ביצועים ממוצעים</c:v>
                </c:pt>
                <c:pt idx="3">
                  <c:v>ערכיות רב-שכבתית</c:v>
                </c:pt>
                <c:pt idx="4">
                  <c:v>רמת שירות וממשקים</c:v>
                </c:pt>
                <c:pt idx="5">
                  <c:v>אמינות ושקיפות</c:v>
                </c:pt>
                <c:pt idx="6">
                  <c:v>סייבר ושמירת פרטיות</c:v>
                </c:pt>
              </c:strCache>
            </c:strRef>
          </c:cat>
          <c:val>
            <c:numRef>
              <c:f>(Main!$I$6,Main!$I$8,Main!$I$10,Main!$I$12,Main!$I$14,Main!$I$18,Main!$I$20,Main!$I$22,Main!$I$24,Main!$I$26,Main!$I$28)</c:f>
              <c:numCache>
                <c:formatCode>#,##0.0</c:formatCode>
                <c:ptCount val="7"/>
                <c:pt idx="0">
                  <c:v>3.2201063122537481</c:v>
                </c:pt>
                <c:pt idx="1">
                  <c:v>5</c:v>
                </c:pt>
                <c:pt idx="2">
                  <c:v>1.909293831168831</c:v>
                </c:pt>
                <c:pt idx="3">
                  <c:v>3.0769230769230771</c:v>
                </c:pt>
                <c:pt idx="4">
                  <c:v>2.1875</c:v>
                </c:pt>
                <c:pt idx="5">
                  <c:v>3.75</c:v>
                </c:pt>
                <c:pt idx="6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1-43F6-9ACB-C113C358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47456"/>
        <c:axId val="240447784"/>
      </c:radarChart>
      <c:catAx>
        <c:axId val="24044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40447784"/>
        <c:crosses val="autoZero"/>
        <c:auto val="1"/>
        <c:lblAlgn val="ctr"/>
        <c:lblOffset val="100"/>
        <c:noMultiLvlLbl val="0"/>
      </c:catAx>
      <c:valAx>
        <c:axId val="24044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404474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2170546</xdr:colOff>
      <xdr:row>4</xdr:row>
      <xdr:rowOff>150091</xdr:rowOff>
    </xdr:from>
    <xdr:to>
      <xdr:col>8</xdr:col>
      <xdr:colOff>939307</xdr:colOff>
      <xdr:row>4</xdr:row>
      <xdr:rowOff>992909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U282"/>
  <sheetViews>
    <sheetView showGridLines="0" rightToLeft="1" topLeftCell="A72" zoomScale="55" zoomScaleNormal="55" workbookViewId="0">
      <selection activeCell="F182" sqref="F182"/>
    </sheetView>
  </sheetViews>
  <sheetFormatPr defaultColWidth="9" defaultRowHeight="16.5" x14ac:dyDescent="0.3"/>
  <cols>
    <col min="1" max="1" width="3.25" style="10" customWidth="1"/>
    <col min="2" max="2" width="6.4140625" style="40" customWidth="1"/>
    <col min="3" max="3" width="5.4140625" style="40" customWidth="1"/>
    <col min="4" max="4" width="6.9140625" style="40" customWidth="1"/>
    <col min="5" max="5" width="5.9140625" style="235" customWidth="1"/>
    <col min="6" max="6" width="36.6640625" style="235" customWidth="1"/>
    <col min="7" max="7" width="10" style="235" customWidth="1"/>
    <col min="8" max="8" width="27.9140625" style="10" customWidth="1"/>
    <col min="9" max="9" width="13.4140625" style="234" customWidth="1"/>
    <col min="10" max="10" width="6.4140625" style="234" customWidth="1"/>
    <col min="11" max="11" width="7.9140625" style="236" customWidth="1"/>
    <col min="12" max="12" width="35.6640625" style="234" customWidth="1"/>
    <col min="13" max="13" width="19.4140625" style="237" customWidth="1"/>
    <col min="14" max="14" width="52.9140625" style="239" customWidth="1"/>
    <col min="15" max="15" width="6.25" style="4" customWidth="1"/>
    <col min="16" max="16" width="3.25" style="237" customWidth="1"/>
    <col min="17" max="17" width="9" style="237" customWidth="1"/>
    <col min="18" max="18" width="3.25" style="237" bestFit="1" customWidth="1"/>
    <col min="19" max="19" width="25.4140625" style="237" customWidth="1"/>
    <col min="20" max="20" width="9" style="237" customWidth="1"/>
    <col min="21" max="21" width="5.25" style="237" customWidth="1"/>
    <col min="22" max="24" width="9" style="237" customWidth="1"/>
    <col min="25" max="16384" width="9" style="237"/>
  </cols>
  <sheetData>
    <row r="1" spans="1:21" ht="19.5" customHeight="1" x14ac:dyDescent="0.3">
      <c r="A1" s="23"/>
      <c r="B1" s="38"/>
      <c r="C1" s="38"/>
      <c r="D1" s="38"/>
      <c r="E1" s="39"/>
      <c r="F1" s="39"/>
      <c r="G1" s="39"/>
      <c r="H1" s="237"/>
      <c r="I1" s="9"/>
      <c r="J1" s="9"/>
      <c r="K1" s="83"/>
      <c r="L1" s="9"/>
      <c r="N1" s="240"/>
    </row>
    <row r="2" spans="1:21" s="2" customFormat="1" ht="23.5" customHeight="1" x14ac:dyDescent="0.3">
      <c r="A2" s="22"/>
      <c r="B2" s="110" t="s">
        <v>0</v>
      </c>
      <c r="C2" s="94"/>
      <c r="D2" s="94"/>
      <c r="E2" s="94"/>
      <c r="F2" s="94"/>
      <c r="G2" s="94"/>
      <c r="H2" s="102" t="s">
        <v>1</v>
      </c>
      <c r="I2" s="96">
        <v>30</v>
      </c>
      <c r="J2" s="101" t="s">
        <v>2</v>
      </c>
      <c r="K2" s="170"/>
      <c r="L2" s="97"/>
      <c r="M2" s="98"/>
      <c r="O2" s="99"/>
    </row>
    <row r="3" spans="1:21" s="2" customFormat="1" ht="7.5" customHeight="1" x14ac:dyDescent="0.3">
      <c r="A3" s="24"/>
      <c r="B3" s="64"/>
      <c r="C3" s="100"/>
      <c r="D3" s="100"/>
      <c r="E3" s="100"/>
      <c r="F3" s="100"/>
      <c r="G3" s="100"/>
      <c r="H3" s="91"/>
      <c r="I3" s="33"/>
      <c r="J3" s="92"/>
      <c r="K3" s="92"/>
      <c r="L3" s="93"/>
      <c r="M3" s="93"/>
      <c r="O3" s="4"/>
    </row>
    <row r="4" spans="1:21" s="2" customFormat="1" ht="19.5" customHeight="1" x14ac:dyDescent="0.3">
      <c r="A4" s="24"/>
      <c r="B4" s="111" t="s">
        <v>3</v>
      </c>
      <c r="C4" s="94"/>
      <c r="D4" s="94"/>
      <c r="E4" s="94"/>
      <c r="F4" s="103" t="s">
        <v>4</v>
      </c>
      <c r="G4" s="104" t="s">
        <v>5</v>
      </c>
      <c r="H4" s="104" t="s">
        <v>6</v>
      </c>
      <c r="I4" s="105"/>
      <c r="J4" s="106" t="s">
        <v>7</v>
      </c>
      <c r="K4" s="171"/>
      <c r="L4" s="94"/>
      <c r="M4" s="95"/>
      <c r="N4" s="241" t="s">
        <v>8</v>
      </c>
      <c r="O4" s="4"/>
    </row>
    <row r="5" spans="1:21" s="2" customFormat="1" ht="72" customHeight="1" thickBot="1" x14ac:dyDescent="0.4">
      <c r="A5" s="24"/>
      <c r="C5" s="88"/>
      <c r="D5" s="88"/>
      <c r="E5" s="88"/>
      <c r="F5" s="88"/>
      <c r="G5" s="88"/>
      <c r="H5" s="107" t="s">
        <v>9</v>
      </c>
      <c r="I5" s="56"/>
      <c r="J5" s="33"/>
      <c r="K5" s="172"/>
      <c r="L5" s="33"/>
      <c r="N5" s="242" t="s">
        <v>10</v>
      </c>
      <c r="O5" s="4"/>
    </row>
    <row r="6" spans="1:21" s="2" customFormat="1" ht="38.5" customHeight="1" thickBot="1" x14ac:dyDescent="0.35">
      <c r="A6" s="25"/>
      <c r="B6" s="89" t="s">
        <v>11</v>
      </c>
      <c r="C6" s="237"/>
      <c r="D6" s="237"/>
      <c r="E6" s="90"/>
      <c r="G6" s="67" t="s">
        <v>12</v>
      </c>
      <c r="H6" s="108" t="s">
        <v>13</v>
      </c>
      <c r="I6" s="243">
        <f ca="1">(I8*H8 + I10*H10 + I12*H12 + I14*H14 + I16*H16 + I18*H18 + I20*H20 + I28*H28 + I30*H30)/SUM(H8,H10,H12,H14,H16,H18,H20,H22,H28,H30)</f>
        <v>3.2201063122537481</v>
      </c>
      <c r="J6" s="63"/>
      <c r="K6" s="195"/>
      <c r="L6" s="195"/>
      <c r="M6" s="73"/>
      <c r="N6" s="244"/>
      <c r="O6" s="73"/>
      <c r="P6" s="73"/>
      <c r="Q6" s="73"/>
      <c r="R6" s="73"/>
      <c r="S6" s="73"/>
      <c r="T6" s="3"/>
      <c r="U6" s="237"/>
    </row>
    <row r="7" spans="1:21" ht="7" customHeight="1" x14ac:dyDescent="0.3">
      <c r="A7" s="25"/>
      <c r="B7" s="42"/>
      <c r="C7" s="42"/>
      <c r="D7" s="235"/>
      <c r="H7" s="45"/>
      <c r="I7" s="32"/>
      <c r="J7" s="32"/>
      <c r="K7" s="195"/>
      <c r="L7" s="195"/>
      <c r="N7" s="9"/>
    </row>
    <row r="8" spans="1:21" ht="23" customHeight="1" x14ac:dyDescent="0.3">
      <c r="A8" s="25"/>
      <c r="B8" s="48">
        <v>1</v>
      </c>
      <c r="C8" s="149" t="s">
        <v>14</v>
      </c>
      <c r="E8" s="57"/>
      <c r="F8" s="57"/>
      <c r="H8" s="245">
        <v>2</v>
      </c>
      <c r="I8" s="246">
        <f>I32</f>
        <v>5</v>
      </c>
      <c r="J8" s="32"/>
      <c r="K8" s="195"/>
      <c r="L8" s="195"/>
      <c r="N8" s="247"/>
    </row>
    <row r="9" spans="1:21" ht="9" customHeight="1" x14ac:dyDescent="0.3">
      <c r="A9" s="25"/>
      <c r="B9" s="48"/>
      <c r="C9" s="150"/>
      <c r="E9" s="43"/>
      <c r="F9" s="43"/>
      <c r="H9" s="248"/>
      <c r="I9" s="196"/>
      <c r="J9" s="32"/>
      <c r="K9" s="195"/>
      <c r="L9" s="195"/>
      <c r="N9" s="29"/>
    </row>
    <row r="10" spans="1:21" ht="20" customHeight="1" x14ac:dyDescent="0.3">
      <c r="A10" s="25"/>
      <c r="B10" s="48">
        <v>2</v>
      </c>
      <c r="C10" s="149" t="s">
        <v>15</v>
      </c>
      <c r="E10" s="57"/>
      <c r="F10" s="57"/>
      <c r="H10" s="245">
        <v>1.8</v>
      </c>
      <c r="I10" s="246">
        <f>I71</f>
        <v>1.909293831168831</v>
      </c>
      <c r="J10" s="249"/>
      <c r="K10" s="195"/>
      <c r="L10" s="195"/>
      <c r="N10" s="247"/>
    </row>
    <row r="11" spans="1:21" ht="9" customHeight="1" x14ac:dyDescent="0.3">
      <c r="A11" s="25"/>
      <c r="B11" s="48"/>
      <c r="C11" s="151"/>
      <c r="E11" s="16"/>
      <c r="F11" s="16"/>
      <c r="H11" s="248"/>
      <c r="I11" s="197"/>
      <c r="J11" s="44"/>
      <c r="K11" s="195"/>
      <c r="L11" s="195"/>
      <c r="N11" s="29"/>
    </row>
    <row r="12" spans="1:21" ht="20" hidden="1" customHeight="1" x14ac:dyDescent="0.3">
      <c r="A12" s="23"/>
      <c r="B12" s="48"/>
      <c r="C12" s="149"/>
      <c r="E12" s="57"/>
      <c r="F12" s="57"/>
      <c r="H12" s="245"/>
      <c r="I12" s="246"/>
      <c r="J12" s="64"/>
      <c r="K12" s="195"/>
      <c r="L12" s="195"/>
      <c r="N12" s="247"/>
    </row>
    <row r="13" spans="1:21" ht="9" hidden="1" customHeight="1" x14ac:dyDescent="0.3">
      <c r="A13" s="23"/>
      <c r="B13" s="48"/>
      <c r="C13" s="152"/>
      <c r="E13" s="12"/>
      <c r="F13" s="12"/>
      <c r="H13" s="248"/>
      <c r="I13" s="197"/>
      <c r="J13" s="65"/>
      <c r="K13" s="195"/>
      <c r="L13" s="195"/>
      <c r="N13" s="29"/>
    </row>
    <row r="14" spans="1:21" ht="20" customHeight="1" x14ac:dyDescent="0.3">
      <c r="A14" s="23"/>
      <c r="B14" s="48">
        <v>3</v>
      </c>
      <c r="C14" s="153" t="str">
        <f>C90</f>
        <v>ערכיות רב-שכבתית</v>
      </c>
      <c r="E14" s="58"/>
      <c r="F14" s="58"/>
      <c r="H14" s="245">
        <v>1.6</v>
      </c>
      <c r="I14" s="246">
        <f>I90</f>
        <v>3.0769230769230771</v>
      </c>
      <c r="J14" s="52"/>
      <c r="K14" s="195"/>
      <c r="L14" s="195"/>
      <c r="N14" s="247"/>
    </row>
    <row r="15" spans="1:21" ht="9" customHeight="1" x14ac:dyDescent="0.3">
      <c r="A15" s="23"/>
      <c r="B15" s="48"/>
      <c r="C15" s="152"/>
      <c r="E15" s="12"/>
      <c r="F15" s="12"/>
      <c r="H15" s="248"/>
      <c r="I15" s="197"/>
      <c r="J15" s="65"/>
      <c r="K15" s="195"/>
      <c r="L15" s="195"/>
      <c r="N15" s="29"/>
    </row>
    <row r="16" spans="1:21" ht="20" customHeight="1" x14ac:dyDescent="0.3">
      <c r="A16" s="23"/>
      <c r="B16" s="48">
        <v>4</v>
      </c>
      <c r="C16" s="153" t="str">
        <f>C169</f>
        <v>גודל ופריסה</v>
      </c>
      <c r="E16" s="12"/>
      <c r="F16" s="12"/>
      <c r="H16" s="245">
        <v>1.4</v>
      </c>
      <c r="I16" s="246">
        <f ca="1">I169</f>
        <v>2.4145299145299144</v>
      </c>
      <c r="J16" s="65"/>
      <c r="K16" s="195"/>
      <c r="L16" s="195"/>
      <c r="N16" s="29"/>
    </row>
    <row r="17" spans="1:16" ht="9" customHeight="1" x14ac:dyDescent="0.3">
      <c r="A17" s="23"/>
      <c r="B17" s="48"/>
      <c r="C17" s="152"/>
      <c r="E17" s="12"/>
      <c r="F17" s="12"/>
      <c r="H17" s="248"/>
      <c r="I17" s="197"/>
      <c r="J17" s="65"/>
      <c r="K17" s="195"/>
      <c r="L17" s="195"/>
      <c r="N17" s="29"/>
    </row>
    <row r="18" spans="1:16" ht="20" customHeight="1" x14ac:dyDescent="0.3">
      <c r="A18" s="23"/>
      <c r="B18" s="48">
        <v>5</v>
      </c>
      <c r="C18" s="153" t="str">
        <f>C174</f>
        <v>רמת שירות וממשקים</v>
      </c>
      <c r="E18" s="58"/>
      <c r="F18" s="58"/>
      <c r="H18" s="245">
        <v>1.5</v>
      </c>
      <c r="I18" s="246">
        <f>I174</f>
        <v>2.1875</v>
      </c>
      <c r="J18" s="65"/>
      <c r="K18" s="195"/>
      <c r="L18" s="195"/>
      <c r="N18" s="247"/>
    </row>
    <row r="19" spans="1:16" ht="9" customHeight="1" x14ac:dyDescent="0.3">
      <c r="A19" s="23"/>
      <c r="B19" s="48"/>
      <c r="C19" s="149"/>
      <c r="E19" s="57"/>
      <c r="F19" s="57"/>
      <c r="H19" s="248"/>
      <c r="I19" s="197"/>
      <c r="J19" s="52"/>
      <c r="K19" s="195"/>
      <c r="L19" s="195"/>
      <c r="N19" s="29"/>
    </row>
    <row r="20" spans="1:16" ht="20" customHeight="1" x14ac:dyDescent="0.3">
      <c r="A20" s="23"/>
      <c r="B20" s="48">
        <v>6</v>
      </c>
      <c r="C20" s="153" t="str">
        <f>C181</f>
        <v>אמינות ושקיפות</v>
      </c>
      <c r="E20" s="58"/>
      <c r="F20" s="58"/>
      <c r="H20" s="245">
        <v>1.4</v>
      </c>
      <c r="I20" s="246">
        <f>I188</f>
        <v>3.75</v>
      </c>
      <c r="J20" s="52"/>
      <c r="K20" s="195"/>
      <c r="L20" s="195"/>
      <c r="N20" s="247"/>
    </row>
    <row r="21" spans="1:16" ht="9" hidden="1" customHeight="1" x14ac:dyDescent="0.3">
      <c r="A21" s="23"/>
      <c r="B21" s="48"/>
      <c r="C21" s="149"/>
      <c r="E21" s="57"/>
      <c r="F21" s="57"/>
      <c r="H21" s="248"/>
      <c r="I21" s="197"/>
      <c r="J21" s="3"/>
      <c r="K21" s="195"/>
      <c r="L21" s="195"/>
      <c r="N21" s="29"/>
    </row>
    <row r="22" spans="1:16" ht="20" hidden="1" customHeight="1" x14ac:dyDescent="0.3">
      <c r="A22" s="23"/>
      <c r="B22" s="48"/>
      <c r="C22" s="154"/>
      <c r="E22" s="59"/>
      <c r="F22" s="59"/>
      <c r="H22" s="245"/>
      <c r="I22" s="246"/>
      <c r="J22" s="61"/>
      <c r="K22" s="195"/>
      <c r="L22" s="195"/>
      <c r="N22" s="247"/>
    </row>
    <row r="23" spans="1:16" ht="9" hidden="1" customHeight="1" x14ac:dyDescent="0.3">
      <c r="A23" s="23"/>
      <c r="B23" s="48"/>
      <c r="C23" s="149"/>
      <c r="E23" s="57"/>
      <c r="F23" s="57"/>
      <c r="H23" s="248"/>
      <c r="I23" s="197"/>
      <c r="J23" s="41"/>
      <c r="K23" s="195"/>
      <c r="L23" s="195"/>
      <c r="N23" s="30"/>
    </row>
    <row r="24" spans="1:16" ht="20" hidden="1" customHeight="1" x14ac:dyDescent="0.3">
      <c r="A24" s="23"/>
      <c r="B24" s="48"/>
      <c r="C24" s="153"/>
      <c r="E24" s="58"/>
      <c r="F24" s="58"/>
      <c r="H24" s="248"/>
      <c r="I24" s="250"/>
      <c r="K24" s="195"/>
      <c r="L24" s="195"/>
      <c r="N24" s="247"/>
    </row>
    <row r="25" spans="1:16" ht="9" hidden="1" customHeight="1" x14ac:dyDescent="0.3">
      <c r="A25" s="23"/>
      <c r="B25" s="48"/>
      <c r="C25" s="149"/>
      <c r="E25" s="57"/>
      <c r="F25" s="57"/>
      <c r="H25" s="248"/>
      <c r="I25" s="197"/>
      <c r="K25" s="195"/>
      <c r="L25" s="195"/>
      <c r="N25" s="29"/>
    </row>
    <row r="26" spans="1:16" ht="20" hidden="1" customHeight="1" x14ac:dyDescent="0.3">
      <c r="A26" s="23"/>
      <c r="B26" s="49"/>
      <c r="C26" s="149"/>
      <c r="E26" s="57"/>
      <c r="F26" s="57"/>
      <c r="H26" s="248"/>
      <c r="I26" s="250"/>
      <c r="K26" s="195"/>
      <c r="L26" s="195"/>
      <c r="N26" s="247"/>
    </row>
    <row r="27" spans="1:16" ht="9" customHeight="1" x14ac:dyDescent="0.3">
      <c r="A27" s="23"/>
      <c r="C27" s="151"/>
      <c r="E27" s="16"/>
      <c r="F27" s="16"/>
      <c r="H27" s="198"/>
      <c r="I27" s="199"/>
      <c r="K27" s="195"/>
      <c r="L27" s="199"/>
      <c r="N27" s="30"/>
    </row>
    <row r="28" spans="1:16" ht="25" customHeight="1" x14ac:dyDescent="0.3">
      <c r="A28" s="23"/>
      <c r="B28" s="48">
        <v>7</v>
      </c>
      <c r="C28" s="149" t="str">
        <f>C188</f>
        <v>סייבר ושמירת פרטיות</v>
      </c>
      <c r="E28" s="200"/>
      <c r="F28" s="200"/>
      <c r="H28" s="245">
        <v>1</v>
      </c>
      <c r="I28" s="246">
        <f>I188</f>
        <v>3.75</v>
      </c>
      <c r="K28" s="84"/>
      <c r="L28" s="199"/>
      <c r="N28" s="247"/>
    </row>
    <row r="29" spans="1:16" ht="8.5" customHeight="1" x14ac:dyDescent="0.4">
      <c r="A29" s="237"/>
      <c r="C29" s="155"/>
      <c r="E29" s="88"/>
      <c r="F29" s="88"/>
      <c r="G29" s="88"/>
      <c r="H29" s="198"/>
      <c r="I29" s="199"/>
      <c r="K29" s="84"/>
      <c r="L29" s="199"/>
      <c r="N29" s="117"/>
    </row>
    <row r="30" spans="1:16" ht="21" customHeight="1" x14ac:dyDescent="0.3">
      <c r="A30" s="237"/>
      <c r="B30" s="48">
        <v>8</v>
      </c>
      <c r="C30" s="149" t="str">
        <f>C206</f>
        <v>נוכחות דיגיטלית</v>
      </c>
      <c r="E30" s="200"/>
      <c r="F30" s="200"/>
      <c r="H30" s="245">
        <v>1</v>
      </c>
      <c r="I30" s="246">
        <f>I206</f>
        <v>3.6538461538461537</v>
      </c>
      <c r="K30" s="84"/>
      <c r="N30" s="117"/>
    </row>
    <row r="31" spans="1:16" ht="13" customHeight="1" thickBot="1" x14ac:dyDescent="0.4">
      <c r="A31" s="237"/>
      <c r="C31" s="88"/>
      <c r="D31" s="88"/>
      <c r="E31" s="88"/>
      <c r="F31" s="88"/>
      <c r="G31" s="88"/>
      <c r="H31" s="107"/>
      <c r="I31" s="9"/>
      <c r="K31" s="84"/>
      <c r="N31" s="117"/>
    </row>
    <row r="32" spans="1:16" s="61" customFormat="1" ht="27" customHeight="1" thickBot="1" x14ac:dyDescent="0.55000000000000004">
      <c r="A32" s="27"/>
      <c r="B32" s="11">
        <v>1</v>
      </c>
      <c r="C32" s="251" t="s">
        <v>16</v>
      </c>
      <c r="D32" s="252"/>
      <c r="H32" s="13" t="s">
        <v>17</v>
      </c>
      <c r="I32" s="243">
        <f>I33</f>
        <v>5</v>
      </c>
      <c r="J32" s="3"/>
      <c r="K32" s="9"/>
      <c r="L32" s="9"/>
      <c r="N32" s="118"/>
      <c r="O32" s="74"/>
      <c r="P32" s="3"/>
    </row>
    <row r="33" spans="1:16" s="61" customFormat="1" ht="18" customHeight="1" thickBot="1" x14ac:dyDescent="0.35">
      <c r="A33" s="26"/>
      <c r="B33" s="20">
        <v>1</v>
      </c>
      <c r="C33" s="253" t="s">
        <v>18</v>
      </c>
      <c r="H33" s="254" t="s">
        <v>19</v>
      </c>
      <c r="I33" s="255">
        <f>(I34*3+I38*3+I42*3+I46*3+I50*3+I54*3+I58*3+I62*3+I66*3)/27</f>
        <v>5</v>
      </c>
      <c r="J33" s="3"/>
      <c r="K33" s="9"/>
      <c r="L33" s="9"/>
      <c r="N33" s="118"/>
      <c r="O33" s="74"/>
      <c r="P33" s="3"/>
    </row>
    <row r="34" spans="1:16" s="61" customFormat="1" ht="14.5" customHeight="1" thickBot="1" x14ac:dyDescent="0.45">
      <c r="A34" s="26"/>
      <c r="C34" s="256" t="s">
        <v>20</v>
      </c>
      <c r="D34" s="156" t="s">
        <v>21</v>
      </c>
      <c r="E34" s="158"/>
      <c r="H34" s="257" t="s">
        <v>22</v>
      </c>
      <c r="I34" s="258">
        <f>(IF(I35=Normalize!G5,5,IF(I35&lt;Normalize!G5,5,IF(I35&gt;Normalize!I5,0,((I35-Normalize!G5)/(Normalize!I5-Normalize!G5))*5)))+IF(I36=Normalize!G6,5,IF(I36&lt;Normalize!G6,5,IF(I36&gt;Normalize!I6,0,5-((I36-Normalize!G6)/(Normalize!I6-Normalize!G6))*5)))+IF(I37=Normalize!G7,5,IF(I37&lt;Normalize!G7,5,IF(I37&gt;Normalize!I7,0,5-((I37-Normalize!G7)/(Normalize!I7-Normalize!G7))*5))))/3</f>
        <v>5</v>
      </c>
      <c r="L34" s="201" t="s">
        <v>23</v>
      </c>
      <c r="N34" s="119"/>
      <c r="O34" s="74"/>
      <c r="P34" s="3"/>
    </row>
    <row r="35" spans="1:16" s="61" customFormat="1" ht="14.5" customHeight="1" x14ac:dyDescent="0.35">
      <c r="A35" s="26"/>
      <c r="B35" s="15"/>
      <c r="D35" s="61" t="s">
        <v>24</v>
      </c>
      <c r="E35" s="192" t="s">
        <v>25</v>
      </c>
      <c r="H35" s="259" t="s">
        <v>26</v>
      </c>
      <c r="I35" s="169">
        <v>5</v>
      </c>
      <c r="J35" s="3"/>
      <c r="K35" s="202" t="str">
        <f>D35</f>
        <v>1.1.1</v>
      </c>
      <c r="L35" s="35"/>
      <c r="N35" s="119"/>
      <c r="O35" s="74"/>
      <c r="P35" s="3"/>
    </row>
    <row r="36" spans="1:16" s="61" customFormat="1" ht="14.5" customHeight="1" x14ac:dyDescent="0.35">
      <c r="A36" s="26"/>
      <c r="B36" s="15"/>
      <c r="D36" s="61" t="s">
        <v>27</v>
      </c>
      <c r="E36" s="192" t="s">
        <v>28</v>
      </c>
      <c r="H36" s="259" t="s">
        <v>29</v>
      </c>
      <c r="I36" s="72">
        <v>6.0000000000000001E-3</v>
      </c>
      <c r="J36" s="3"/>
      <c r="K36" s="202" t="str">
        <f>D36</f>
        <v>1.1.2</v>
      </c>
      <c r="L36" s="35"/>
      <c r="N36" s="119"/>
      <c r="O36" s="74"/>
      <c r="P36" s="3"/>
    </row>
    <row r="37" spans="1:16" s="61" customFormat="1" ht="14.5" customHeight="1" thickBot="1" x14ac:dyDescent="0.4">
      <c r="A37" s="26"/>
      <c r="B37" s="15"/>
      <c r="D37" s="61" t="s">
        <v>30</v>
      </c>
      <c r="E37" s="192" t="s">
        <v>31</v>
      </c>
      <c r="H37" s="259" t="s">
        <v>29</v>
      </c>
      <c r="I37" s="72">
        <v>8.0000000000000002E-3</v>
      </c>
      <c r="J37" s="3"/>
      <c r="K37" s="202" t="str">
        <f>D37</f>
        <v>1.1.3</v>
      </c>
      <c r="L37" s="35"/>
      <c r="N37" s="119"/>
      <c r="O37" s="74"/>
      <c r="P37" s="3"/>
    </row>
    <row r="38" spans="1:16" s="61" customFormat="1" ht="14.5" customHeight="1" thickBot="1" x14ac:dyDescent="0.4">
      <c r="A38" s="26"/>
      <c r="B38" s="15"/>
      <c r="C38" s="256" t="s">
        <v>32</v>
      </c>
      <c r="D38" s="156" t="s">
        <v>33</v>
      </c>
      <c r="E38" s="156"/>
      <c r="H38" s="257" t="s">
        <v>22</v>
      </c>
      <c r="I38" s="258">
        <f>(IF(I39=Normalize!G9,5,IF(I39&lt;Normalize!G9,5,IF(I39&gt;Normalize!I9,0,((I39-Normalize!G9)/(Normalize!I9-Normalize!G9))*5)))+IF(I40=Normalize!G10,5,IF(I40&lt;Normalize!G10,5,IF(I40&gt;Normalize!I10,0,5-((I40-Normalize!G10)/(Normalize!I10-Normalize!G10))*5)))+IF(I41=Normalize!G11,5,IF(I41&lt;Normalize!G11,5,IF(I41&gt;Normalize!I11,0,5-((I41-Normalize!G11)/(Normalize!I11-Normalize!G11))*5))))/3</f>
        <v>5</v>
      </c>
      <c r="N38" s="119"/>
      <c r="O38" s="74"/>
      <c r="P38" s="3"/>
    </row>
    <row r="39" spans="1:16" s="61" customFormat="1" ht="14.5" customHeight="1" x14ac:dyDescent="0.35">
      <c r="A39" s="26"/>
      <c r="B39" s="15"/>
      <c r="C39" s="157"/>
      <c r="D39" s="61" t="s">
        <v>34</v>
      </c>
      <c r="E39" s="192" t="s">
        <v>25</v>
      </c>
      <c r="H39" s="259" t="s">
        <v>26</v>
      </c>
      <c r="I39" s="169">
        <v>5</v>
      </c>
      <c r="J39" s="3"/>
      <c r="K39" s="202" t="str">
        <f>D39</f>
        <v>1.2.1</v>
      </c>
      <c r="L39" s="35"/>
      <c r="N39" s="119"/>
      <c r="O39" s="74"/>
      <c r="P39" s="3"/>
    </row>
    <row r="40" spans="1:16" s="61" customFormat="1" ht="14.5" customHeight="1" x14ac:dyDescent="0.35">
      <c r="A40" s="26"/>
      <c r="B40" s="15"/>
      <c r="D40" s="61" t="s">
        <v>35</v>
      </c>
      <c r="E40" s="192" t="s">
        <v>28</v>
      </c>
      <c r="H40" s="259" t="s">
        <v>29</v>
      </c>
      <c r="I40" s="193">
        <v>80</v>
      </c>
      <c r="J40" s="3"/>
      <c r="K40" s="202" t="str">
        <f>D40</f>
        <v>1.2.2</v>
      </c>
      <c r="L40" s="35"/>
      <c r="N40" s="119"/>
      <c r="O40" s="74"/>
      <c r="P40" s="3"/>
    </row>
    <row r="41" spans="1:16" s="61" customFormat="1" ht="14.5" customHeight="1" thickBot="1" x14ac:dyDescent="0.4">
      <c r="A41" s="26"/>
      <c r="B41" s="15"/>
      <c r="C41" s="157"/>
      <c r="D41" s="61" t="s">
        <v>36</v>
      </c>
      <c r="E41" s="192" t="s">
        <v>31</v>
      </c>
      <c r="H41" s="259" t="s">
        <v>29</v>
      </c>
      <c r="I41" s="193">
        <v>90</v>
      </c>
      <c r="J41" s="3"/>
      <c r="K41" s="202" t="str">
        <f>D41</f>
        <v>1.2.3</v>
      </c>
      <c r="L41" s="35"/>
      <c r="N41" s="119"/>
      <c r="O41" s="74"/>
      <c r="P41" s="3"/>
    </row>
    <row r="42" spans="1:16" s="61" customFormat="1" ht="14.5" customHeight="1" thickBot="1" x14ac:dyDescent="0.4">
      <c r="A42" s="26"/>
      <c r="B42" s="15"/>
      <c r="C42" s="256" t="s">
        <v>37</v>
      </c>
      <c r="D42" s="156" t="s">
        <v>38</v>
      </c>
      <c r="E42" s="156"/>
      <c r="H42" s="257" t="s">
        <v>22</v>
      </c>
      <c r="I42" s="258">
        <f>(IF(I43=Normalize!G13,5,IF(I43&lt;Normalize!G13,5,IF(I43&gt;Normalize!I13,0,((I43-Normalize!G13)/(Normalize!I13-Normalize!G13))*5)))+IF(I44=Normalize!G14,5,IF(I44&lt;Normalize!G14,5,IF(I44&gt;Normalize!I14,0,5-((I44-Normalize!G14)/(Normalize!I14-Normalize!G14))*5)))+IF(I45=Normalize!G15,5,IF(I45&lt;Normalize!G15,5,IF(I45&gt;Normalize!I15,0,5-((I45-Normalize!G15)/(Normalize!I15-Normalize!G15))*5))))/3</f>
        <v>5</v>
      </c>
      <c r="N42" s="119"/>
      <c r="O42" s="74"/>
      <c r="P42" s="3"/>
    </row>
    <row r="43" spans="1:16" s="61" customFormat="1" ht="14.5" customHeight="1" x14ac:dyDescent="0.35">
      <c r="A43" s="26"/>
      <c r="B43" s="15"/>
      <c r="C43" s="157"/>
      <c r="D43" s="61" t="s">
        <v>39</v>
      </c>
      <c r="E43" s="192" t="s">
        <v>25</v>
      </c>
      <c r="H43" s="259" t="s">
        <v>26</v>
      </c>
      <c r="I43" s="169">
        <v>5</v>
      </c>
      <c r="J43" s="3"/>
      <c r="K43" s="202" t="str">
        <f>D43</f>
        <v>1.3.1</v>
      </c>
      <c r="L43" s="35"/>
      <c r="N43" s="119"/>
      <c r="O43" s="74"/>
      <c r="P43" s="3"/>
    </row>
    <row r="44" spans="1:16" s="61" customFormat="1" ht="14.5" customHeight="1" x14ac:dyDescent="0.35">
      <c r="A44" s="26"/>
      <c r="B44" s="15"/>
      <c r="C44" s="157"/>
      <c r="D44" s="61" t="s">
        <v>40</v>
      </c>
      <c r="E44" s="192" t="s">
        <v>28</v>
      </c>
      <c r="H44" s="259" t="s">
        <v>29</v>
      </c>
      <c r="I44" s="72">
        <v>6.0000000000000001E-3</v>
      </c>
      <c r="J44" s="3"/>
      <c r="K44" s="202" t="str">
        <f>D44</f>
        <v>1.3.2</v>
      </c>
      <c r="L44" s="35"/>
      <c r="N44" s="119"/>
      <c r="O44" s="74"/>
      <c r="P44" s="3"/>
    </row>
    <row r="45" spans="1:16" s="61" customFormat="1" ht="14.5" customHeight="1" thickBot="1" x14ac:dyDescent="0.4">
      <c r="A45" s="26"/>
      <c r="B45" s="15"/>
      <c r="C45" s="157"/>
      <c r="D45" s="61" t="s">
        <v>41</v>
      </c>
      <c r="E45" s="192" t="s">
        <v>31</v>
      </c>
      <c r="H45" s="259" t="s">
        <v>29</v>
      </c>
      <c r="I45" s="72">
        <v>8.0000000000000002E-3</v>
      </c>
      <c r="J45" s="3"/>
      <c r="K45" s="202" t="str">
        <f>D45</f>
        <v>1.3.3</v>
      </c>
      <c r="L45" s="35"/>
      <c r="N45" s="119"/>
      <c r="O45" s="74"/>
      <c r="P45" s="3"/>
    </row>
    <row r="46" spans="1:16" s="61" customFormat="1" ht="14.5" customHeight="1" thickBot="1" x14ac:dyDescent="0.4">
      <c r="A46" s="26"/>
      <c r="B46" s="15"/>
      <c r="C46" s="256" t="s">
        <v>42</v>
      </c>
      <c r="D46" s="156" t="s">
        <v>43</v>
      </c>
      <c r="E46" s="156"/>
      <c r="H46" s="257" t="s">
        <v>22</v>
      </c>
      <c r="I46" s="258">
        <f>(IF(I47=Normalize!G17,5,IF(I47&lt;Normalize!G17,5,IF(I47&gt;Normalize!I17,0,((I47-Normalize!G17)/(Normalize!I17-Normalize!G17))*5)))+IF(I48=Normalize!G18,5,IF(I48&lt;Normalize!G18,5,IF(I48&gt;Normalize!I18,0,5-((I48-Normalize!G18)/(Normalize!I18-Normalize!G18))*5)))+IF(I49=Normalize!G19,5,IF(I49&lt;Normalize!G19,5,IF(I49&gt;Normalize!I19,0,5-((I49-Normalize!G19)/(Normalize!I19-Normalize!G19))*5))))/3</f>
        <v>5</v>
      </c>
      <c r="N46" s="119"/>
      <c r="O46" s="74"/>
      <c r="P46" s="3"/>
    </row>
    <row r="47" spans="1:16" s="61" customFormat="1" ht="14.5" customHeight="1" x14ac:dyDescent="0.35">
      <c r="A47" s="26"/>
      <c r="B47" s="15"/>
      <c r="C47" s="157"/>
      <c r="D47" s="61" t="s">
        <v>44</v>
      </c>
      <c r="E47" s="192" t="s">
        <v>25</v>
      </c>
      <c r="H47" s="259" t="s">
        <v>26</v>
      </c>
      <c r="I47" s="169">
        <v>5</v>
      </c>
      <c r="J47" s="3"/>
      <c r="K47" s="202" t="str">
        <f>D47</f>
        <v>1.4.1</v>
      </c>
      <c r="L47" s="35"/>
      <c r="N47" s="119"/>
      <c r="O47" s="74"/>
      <c r="P47" s="3"/>
    </row>
    <row r="48" spans="1:16" s="61" customFormat="1" ht="14.5" customHeight="1" x14ac:dyDescent="0.35">
      <c r="A48" s="26"/>
      <c r="B48" s="15"/>
      <c r="C48" s="157"/>
      <c r="D48" s="61" t="s">
        <v>45</v>
      </c>
      <c r="E48" s="192" t="s">
        <v>28</v>
      </c>
      <c r="H48" s="259" t="s">
        <v>29</v>
      </c>
      <c r="I48" s="72">
        <v>6.0000000000000001E-3</v>
      </c>
      <c r="J48" s="3"/>
      <c r="K48" s="202" t="str">
        <f>D48</f>
        <v>1.4.2</v>
      </c>
      <c r="L48" s="35"/>
      <c r="N48" s="119"/>
      <c r="O48" s="74"/>
      <c r="P48" s="3"/>
    </row>
    <row r="49" spans="1:16" s="61" customFormat="1" ht="14.5" customHeight="1" thickBot="1" x14ac:dyDescent="0.4">
      <c r="A49" s="26"/>
      <c r="B49" s="15"/>
      <c r="C49" s="157"/>
      <c r="D49" s="61" t="s">
        <v>46</v>
      </c>
      <c r="E49" s="192" t="s">
        <v>31</v>
      </c>
      <c r="H49" s="259" t="s">
        <v>29</v>
      </c>
      <c r="I49" s="72">
        <v>8.0000000000000002E-3</v>
      </c>
      <c r="J49" s="3"/>
      <c r="K49" s="202" t="str">
        <f>D49</f>
        <v>1.4.3</v>
      </c>
      <c r="L49" s="35"/>
      <c r="N49" s="119"/>
      <c r="O49" s="74"/>
      <c r="P49" s="3"/>
    </row>
    <row r="50" spans="1:16" s="61" customFormat="1" ht="14.5" customHeight="1" thickBot="1" x14ac:dyDescent="0.4">
      <c r="A50" s="26"/>
      <c r="B50" s="15"/>
      <c r="C50" s="256" t="s">
        <v>47</v>
      </c>
      <c r="D50" s="156" t="s">
        <v>48</v>
      </c>
      <c r="E50" s="156"/>
      <c r="H50" s="257" t="s">
        <v>22</v>
      </c>
      <c r="I50" s="258">
        <f>(IF(I51=Normalize!G21,5,IF(I51&lt;Normalize!G21,5,IF(I51&gt;Normalize!I21,0,((I51-Normalize!G21)/(Normalize!I21-Normalize!G21))*5)))+IF(I52=Normalize!G22,5,IF(I52&lt;Normalize!G22,5,IF(I52&gt;Normalize!I22,0,5-((I52-Normalize!G22)/(Normalize!I22-Normalize!G22))*5)))+IF(I53=Normalize!G23,5,IF(I53&lt;Normalize!G23,5,IF(I53&gt;Normalize!I23,0,5-((I53-Normalize!G23)/(Normalize!I23-Normalize!G23))*5))))/3</f>
        <v>5</v>
      </c>
      <c r="N50" s="119"/>
      <c r="O50" s="74"/>
      <c r="P50" s="3"/>
    </row>
    <row r="51" spans="1:16" s="61" customFormat="1" ht="14.5" customHeight="1" x14ac:dyDescent="0.35">
      <c r="A51" s="26"/>
      <c r="B51" s="15"/>
      <c r="C51" s="157"/>
      <c r="D51" s="61" t="s">
        <v>49</v>
      </c>
      <c r="E51" s="192" t="s">
        <v>25</v>
      </c>
      <c r="H51" s="259" t="s">
        <v>26</v>
      </c>
      <c r="I51" s="169">
        <v>5</v>
      </c>
      <c r="J51" s="3"/>
      <c r="K51" s="202" t="str">
        <f>D51</f>
        <v>1.5.1</v>
      </c>
      <c r="L51" s="35"/>
      <c r="N51" s="119"/>
      <c r="O51" s="74"/>
      <c r="P51" s="3"/>
    </row>
    <row r="52" spans="1:16" s="61" customFormat="1" ht="14.5" customHeight="1" x14ac:dyDescent="0.35">
      <c r="A52" s="26"/>
      <c r="B52" s="15"/>
      <c r="C52" s="157"/>
      <c r="D52" s="61" t="s">
        <v>50</v>
      </c>
      <c r="E52" s="192" t="s">
        <v>28</v>
      </c>
      <c r="H52" s="259" t="s">
        <v>29</v>
      </c>
      <c r="I52" s="72">
        <v>6.0000000000000001E-3</v>
      </c>
      <c r="J52" s="3"/>
      <c r="K52" s="202" t="str">
        <f>D52</f>
        <v>1.5.2</v>
      </c>
      <c r="L52" s="35"/>
      <c r="N52" s="119"/>
      <c r="O52" s="74"/>
      <c r="P52" s="3"/>
    </row>
    <row r="53" spans="1:16" s="61" customFormat="1" ht="14.5" customHeight="1" thickBot="1" x14ac:dyDescent="0.4">
      <c r="A53" s="26"/>
      <c r="B53" s="15"/>
      <c r="C53" s="157"/>
      <c r="D53" s="61" t="s">
        <v>51</v>
      </c>
      <c r="E53" s="192" t="s">
        <v>31</v>
      </c>
      <c r="H53" s="259" t="s">
        <v>29</v>
      </c>
      <c r="I53" s="72">
        <v>8.0000000000000002E-3</v>
      </c>
      <c r="J53" s="3"/>
      <c r="K53" s="202" t="str">
        <f>D53</f>
        <v>1.5.3</v>
      </c>
      <c r="L53" s="35"/>
      <c r="N53" s="119"/>
      <c r="O53" s="74"/>
      <c r="P53" s="3"/>
    </row>
    <row r="54" spans="1:16" s="61" customFormat="1" ht="14.5" customHeight="1" thickBot="1" x14ac:dyDescent="0.4">
      <c r="A54" s="26"/>
      <c r="B54" s="15"/>
      <c r="C54" s="256" t="s">
        <v>52</v>
      </c>
      <c r="D54" s="156" t="s">
        <v>53</v>
      </c>
      <c r="E54" s="156"/>
      <c r="H54" s="257" t="s">
        <v>22</v>
      </c>
      <c r="I54" s="258">
        <f>(IF(I55=Normalize!G25,5,IF(I55&lt;Normalize!G25,5,IF(I55&gt;Normalize!I25,0,((I55-Normalize!G25)/(Normalize!I25-Normalize!G25))*5)))+IF(I56=Normalize!G26,5,IF(I56&lt;Normalize!G26,5,IF(I56&gt;Normalize!I26,0,5-((I56-Normalize!G26)/(Normalize!I26-Normalize!G26))*5)))+IF(I57=Normalize!G27,5,IF(I57&lt;Normalize!G27,5,IF(I57&gt;Normalize!I27,0,5-((I57-Normalize!G27)/(Normalize!I27-Normalize!G27))*5))))/3</f>
        <v>5</v>
      </c>
      <c r="N54" s="119"/>
      <c r="O54" s="74"/>
      <c r="P54" s="3"/>
    </row>
    <row r="55" spans="1:16" s="61" customFormat="1" ht="14.5" customHeight="1" x14ac:dyDescent="0.35">
      <c r="A55" s="26"/>
      <c r="B55" s="15"/>
      <c r="C55" s="157"/>
      <c r="D55" s="61" t="s">
        <v>54</v>
      </c>
      <c r="E55" s="192" t="s">
        <v>25</v>
      </c>
      <c r="H55" s="259" t="s">
        <v>26</v>
      </c>
      <c r="I55" s="169">
        <v>5</v>
      </c>
      <c r="J55" s="3"/>
      <c r="K55" s="202" t="str">
        <f>D55</f>
        <v>1.6.1</v>
      </c>
      <c r="L55" s="35"/>
      <c r="N55" s="119"/>
      <c r="O55" s="74"/>
      <c r="P55" s="3"/>
    </row>
    <row r="56" spans="1:16" s="61" customFormat="1" ht="14.5" customHeight="1" x14ac:dyDescent="0.35">
      <c r="A56" s="26"/>
      <c r="B56" s="15"/>
      <c r="C56" s="157"/>
      <c r="D56" s="61" t="s">
        <v>55</v>
      </c>
      <c r="E56" s="192" t="s">
        <v>28</v>
      </c>
      <c r="H56" s="259" t="s">
        <v>29</v>
      </c>
      <c r="I56" s="72">
        <v>6.0000000000000001E-3</v>
      </c>
      <c r="J56" s="3"/>
      <c r="K56" s="202" t="str">
        <f>D56</f>
        <v>1.6.2</v>
      </c>
      <c r="L56" s="35"/>
      <c r="N56" s="119"/>
      <c r="O56" s="74"/>
      <c r="P56" s="3"/>
    </row>
    <row r="57" spans="1:16" s="61" customFormat="1" ht="14.5" customHeight="1" thickBot="1" x14ac:dyDescent="0.4">
      <c r="A57" s="26"/>
      <c r="B57" s="15"/>
      <c r="C57" s="157"/>
      <c r="D57" s="61" t="s">
        <v>56</v>
      </c>
      <c r="E57" s="192" t="s">
        <v>31</v>
      </c>
      <c r="H57" s="259" t="s">
        <v>29</v>
      </c>
      <c r="I57" s="72">
        <v>8.0000000000000002E-3</v>
      </c>
      <c r="J57" s="3"/>
      <c r="K57" s="202" t="str">
        <f>D57</f>
        <v>1.6.3</v>
      </c>
      <c r="L57" s="35"/>
      <c r="N57" s="119"/>
      <c r="O57" s="74"/>
      <c r="P57" s="3"/>
    </row>
    <row r="58" spans="1:16" s="61" customFormat="1" ht="14.5" customHeight="1" thickBot="1" x14ac:dyDescent="0.4">
      <c r="A58" s="26"/>
      <c r="B58" s="15"/>
      <c r="C58" s="260" t="s">
        <v>57</v>
      </c>
      <c r="D58" s="156" t="s">
        <v>58</v>
      </c>
      <c r="E58" s="156"/>
      <c r="H58" s="257" t="s">
        <v>22</v>
      </c>
      <c r="I58" s="258">
        <f>(IF(I59=Normalize!G29,5,IF(I59&lt;Normalize!G29,5,IF(I59&gt;Normalize!I29,0,((I59-Normalize!G29)/(Normalize!I29-Normalize!G29))*5)))+IF(I60=Normalize!G30,5,IF(I60&lt;Normalize!G30,5,IF(I60&gt;Normalize!I30,0,5-((I60-Normalize!G30)/(Normalize!I30-Normalize!G30))*5)))+IF(I61=Normalize!G31,5,IF(I61&lt;Normalize!G31,5,IF(I61&gt;Normalize!I31,0,5-((I61-Normalize!G31)/(Normalize!I31-Normalize!G31))*5))))/3</f>
        <v>5</v>
      </c>
      <c r="N58" s="119"/>
      <c r="O58" s="74"/>
      <c r="P58" s="3"/>
    </row>
    <row r="59" spans="1:16" s="61" customFormat="1" ht="14.5" customHeight="1" x14ac:dyDescent="0.35">
      <c r="A59" s="26"/>
      <c r="B59" s="15"/>
      <c r="D59" s="61" t="s">
        <v>59</v>
      </c>
      <c r="E59" s="192" t="s">
        <v>25</v>
      </c>
      <c r="H59" s="259" t="s">
        <v>26</v>
      </c>
      <c r="I59" s="169">
        <v>5</v>
      </c>
      <c r="J59" s="3"/>
      <c r="K59" s="202" t="str">
        <f>D59</f>
        <v>1.7.1</v>
      </c>
      <c r="L59" s="35"/>
      <c r="N59" s="119"/>
      <c r="O59" s="74"/>
      <c r="P59" s="3"/>
    </row>
    <row r="60" spans="1:16" s="61" customFormat="1" ht="14.5" customHeight="1" x14ac:dyDescent="0.35">
      <c r="A60" s="26"/>
      <c r="B60" s="15"/>
      <c r="D60" s="61" t="s">
        <v>60</v>
      </c>
      <c r="E60" s="192" t="s">
        <v>28</v>
      </c>
      <c r="H60" s="259" t="s">
        <v>29</v>
      </c>
      <c r="I60" s="193">
        <v>80</v>
      </c>
      <c r="J60" s="3"/>
      <c r="K60" s="202" t="str">
        <f>D60</f>
        <v>1.7.2</v>
      </c>
      <c r="L60" s="35"/>
      <c r="N60" s="119"/>
      <c r="O60" s="74"/>
      <c r="P60" s="3"/>
    </row>
    <row r="61" spans="1:16" s="61" customFormat="1" ht="14.5" customHeight="1" thickBot="1" x14ac:dyDescent="0.4">
      <c r="A61" s="26"/>
      <c r="B61" s="15"/>
      <c r="D61" s="61" t="s">
        <v>61</v>
      </c>
      <c r="E61" s="192" t="s">
        <v>31</v>
      </c>
      <c r="H61" s="259" t="s">
        <v>29</v>
      </c>
      <c r="I61" s="193">
        <v>90</v>
      </c>
      <c r="J61" s="3"/>
      <c r="K61" s="202" t="str">
        <f>D61</f>
        <v>1.7.3</v>
      </c>
      <c r="L61" s="35"/>
      <c r="N61" s="119"/>
      <c r="O61" s="74"/>
      <c r="P61" s="3"/>
    </row>
    <row r="62" spans="1:16" s="61" customFormat="1" ht="14.5" customHeight="1" thickBot="1" x14ac:dyDescent="0.4">
      <c r="A62" s="26"/>
      <c r="B62" s="15"/>
      <c r="C62" s="260" t="s">
        <v>62</v>
      </c>
      <c r="D62" s="156" t="s">
        <v>63</v>
      </c>
      <c r="E62" s="158"/>
      <c r="H62" s="257" t="s">
        <v>22</v>
      </c>
      <c r="I62" s="258">
        <f>(IF(I63=Normalize!G33,5,IF(I63&lt;Normalize!G33,5,IF(I63&gt;Normalize!I33,0,((I63-Normalize!G33)/(Normalize!I33-Normalize!G33))*5)))+IF(I64=Normalize!G34,5,IF(I64&lt;Normalize!G34,5,IF(I64&gt;Normalize!I34,0,5-((I64-Normalize!G34)/(Normalize!I34-Normalize!G34))*5)))+IF(I65=Normalize!G35,5,IF(I65&lt;Normalize!G35,5,IF(I65&gt;Normalize!I35,0,5-((I65-Normalize!G35)/(Normalize!I35-Normalize!G35))*5))))/3</f>
        <v>5</v>
      </c>
      <c r="N62" s="119"/>
      <c r="O62" s="74"/>
      <c r="P62" s="3"/>
    </row>
    <row r="63" spans="1:16" s="61" customFormat="1" ht="14.5" customHeight="1" x14ac:dyDescent="0.35">
      <c r="A63" s="26"/>
      <c r="B63" s="15"/>
      <c r="D63" s="61" t="s">
        <v>64</v>
      </c>
      <c r="E63" s="192" t="s">
        <v>25</v>
      </c>
      <c r="H63" s="259" t="s">
        <v>26</v>
      </c>
      <c r="I63" s="169">
        <v>5</v>
      </c>
      <c r="J63" s="3"/>
      <c r="K63" s="202" t="str">
        <f>D63</f>
        <v>1.8.1</v>
      </c>
      <c r="L63" s="35"/>
      <c r="N63" s="119"/>
      <c r="O63" s="74"/>
      <c r="P63" s="3"/>
    </row>
    <row r="64" spans="1:16" s="61" customFormat="1" ht="14.5" customHeight="1" x14ac:dyDescent="0.35">
      <c r="A64" s="26"/>
      <c r="B64" s="15"/>
      <c r="D64" s="61" t="s">
        <v>65</v>
      </c>
      <c r="E64" s="192" t="s">
        <v>28</v>
      </c>
      <c r="H64" s="259" t="s">
        <v>29</v>
      </c>
      <c r="I64" s="193">
        <v>80</v>
      </c>
      <c r="J64" s="3"/>
      <c r="K64" s="202" t="str">
        <f>D64</f>
        <v>1.8.2</v>
      </c>
      <c r="L64" s="35"/>
      <c r="N64" s="119"/>
      <c r="O64" s="74"/>
      <c r="P64" s="3"/>
    </row>
    <row r="65" spans="1:16" s="61" customFormat="1" ht="14.5" customHeight="1" thickBot="1" x14ac:dyDescent="0.4">
      <c r="A65" s="26"/>
      <c r="B65" s="15"/>
      <c r="D65" s="61" t="s">
        <v>66</v>
      </c>
      <c r="E65" s="192" t="s">
        <v>31</v>
      </c>
      <c r="H65" s="259" t="s">
        <v>29</v>
      </c>
      <c r="I65" s="193">
        <v>90</v>
      </c>
      <c r="J65" s="3"/>
      <c r="K65" s="202" t="str">
        <f>D65</f>
        <v>1.8.3</v>
      </c>
      <c r="L65" s="35"/>
      <c r="N65" s="119"/>
      <c r="O65" s="74"/>
      <c r="P65" s="3"/>
    </row>
    <row r="66" spans="1:16" s="61" customFormat="1" ht="14.5" customHeight="1" thickBot="1" x14ac:dyDescent="0.4">
      <c r="A66" s="26"/>
      <c r="B66" s="15"/>
      <c r="C66" s="260" t="s">
        <v>67</v>
      </c>
      <c r="D66" s="156" t="s">
        <v>68</v>
      </c>
      <c r="E66" s="158"/>
      <c r="H66" s="257" t="s">
        <v>22</v>
      </c>
      <c r="I66" s="258">
        <f>(IF(I67=Normalize!G37,5,IF(I67&lt;Normalize!G37,5,IF(I67&gt;Normalize!I37,0,((I67-Normalize!G37)/(Normalize!I37-Normalize!G37))*5)))+IF(I68=Normalize!G38,5,IF(I68&lt;Normalize!G38,5,IF(I68&gt;Normalize!I38,0,5-((I68-Normalize!G38)/(Normalize!I38-Normalize!G38))*5)))+IF(I69=Normalize!G39,5,IF(I69&lt;Normalize!G39,5,IF(I69&gt;Normalize!I39,0,5-((I69-Normalize!G39)/(Normalize!I39-Normalize!G39))*5))))/3</f>
        <v>5</v>
      </c>
      <c r="N66" s="119"/>
      <c r="O66" s="74"/>
      <c r="P66" s="3"/>
    </row>
    <row r="67" spans="1:16" s="61" customFormat="1" ht="14.5" customHeight="1" x14ac:dyDescent="0.35">
      <c r="A67" s="26"/>
      <c r="B67" s="15"/>
      <c r="C67" s="157"/>
      <c r="D67" s="61" t="s">
        <v>69</v>
      </c>
      <c r="E67" s="192" t="s">
        <v>25</v>
      </c>
      <c r="H67" s="259" t="s">
        <v>26</v>
      </c>
      <c r="I67" s="169">
        <v>5</v>
      </c>
      <c r="J67" s="3"/>
      <c r="K67" s="202" t="str">
        <f>D67</f>
        <v>1.9.1</v>
      </c>
      <c r="L67" s="35"/>
      <c r="N67" s="119"/>
      <c r="O67" s="74"/>
      <c r="P67" s="3"/>
    </row>
    <row r="68" spans="1:16" s="61" customFormat="1" ht="14.5" customHeight="1" x14ac:dyDescent="0.35">
      <c r="A68" s="26"/>
      <c r="B68" s="15"/>
      <c r="D68" s="61" t="s">
        <v>70</v>
      </c>
      <c r="E68" s="192" t="s">
        <v>28</v>
      </c>
      <c r="H68" s="259" t="s">
        <v>29</v>
      </c>
      <c r="I68" s="193">
        <v>80</v>
      </c>
      <c r="J68" s="3"/>
      <c r="K68" s="202" t="str">
        <f>D68</f>
        <v>1.9.2</v>
      </c>
      <c r="L68" s="35"/>
      <c r="N68" s="119"/>
      <c r="O68" s="74"/>
      <c r="P68" s="3"/>
    </row>
    <row r="69" spans="1:16" s="61" customFormat="1" ht="14.5" customHeight="1" x14ac:dyDescent="0.35">
      <c r="A69" s="26"/>
      <c r="B69" s="15"/>
      <c r="C69" s="157"/>
      <c r="D69" s="61" t="s">
        <v>71</v>
      </c>
      <c r="E69" s="192" t="s">
        <v>31</v>
      </c>
      <c r="H69" s="259" t="s">
        <v>29</v>
      </c>
      <c r="I69" s="193">
        <v>90</v>
      </c>
      <c r="J69" s="3"/>
      <c r="K69" s="202" t="str">
        <f>D69</f>
        <v>1.9.3</v>
      </c>
      <c r="L69" s="35"/>
      <c r="N69" s="119"/>
      <c r="O69" s="74"/>
      <c r="P69" s="3"/>
    </row>
    <row r="70" spans="1:16" s="61" customFormat="1" ht="14.5" customHeight="1" thickBot="1" x14ac:dyDescent="0.4">
      <c r="A70" s="26"/>
      <c r="B70" s="15"/>
      <c r="C70" s="71"/>
      <c r="H70" s="259"/>
      <c r="I70" s="5"/>
      <c r="J70" s="3"/>
      <c r="K70" s="174"/>
      <c r="L70" s="1"/>
      <c r="N70" s="119"/>
      <c r="O70" s="74"/>
      <c r="P70" s="3"/>
    </row>
    <row r="71" spans="1:16" s="61" customFormat="1" ht="23.5" customHeight="1" thickBot="1" x14ac:dyDescent="0.45">
      <c r="A71" s="26"/>
      <c r="B71" s="11">
        <v>2</v>
      </c>
      <c r="C71" s="252" t="s">
        <v>72</v>
      </c>
      <c r="D71" s="14"/>
      <c r="E71" s="20"/>
      <c r="F71" s="20"/>
      <c r="G71" s="17"/>
      <c r="H71" s="13" t="s">
        <v>17</v>
      </c>
      <c r="I71" s="261">
        <f>(I72*8+I81*6+I91*9+I102*9)/32</f>
        <v>1.909293831168831</v>
      </c>
      <c r="J71" s="3"/>
      <c r="K71" s="174"/>
      <c r="L71" s="1"/>
      <c r="M71" s="3"/>
      <c r="N71" s="118"/>
      <c r="O71" s="74"/>
      <c r="P71" s="3"/>
    </row>
    <row r="72" spans="1:16" s="61" customFormat="1" ht="18" customHeight="1" thickBot="1" x14ac:dyDescent="0.45">
      <c r="A72" s="26"/>
      <c r="B72" s="14">
        <v>1</v>
      </c>
      <c r="C72" s="78" t="s">
        <v>73</v>
      </c>
      <c r="D72" s="14"/>
      <c r="E72" s="20"/>
      <c r="F72" s="20"/>
      <c r="G72" s="17"/>
      <c r="H72" s="257" t="s">
        <v>22</v>
      </c>
      <c r="I72" s="258">
        <f>(IF(I73=Normalize!G43,5,IF(I73&lt;Normalize!G43,5,IF(I73&gt;Normalize!I43,0,((I73-Normalize!G43)/(Normalize!I43-Normalize!G43))*5)))+IF(I74=Normalize!G44,5,IF(I74&lt;Normalize!G44,5,IF(I74&gt;Normalize!I44,0,((I74-Normalize!G44)/(Normalize!I44-Normalize!G44))*5)))+IF(I75=Normalize!G45,5,IF(I75&lt;Normalize!G45,5,IF(I75&gt;Normalize!I45,0,((I75-Normalize!G45)/(Normalize!I45-Normalize!G45))*5)))+IF(I76=Normalize!G46,5,IF(I76&lt;Normalize!G46,5,IF(I76&gt;Normalize!I46,0,((I76-Normalize!G46)/(Normalize!I46-Normalize!G46))*5)))+IF(I77=Normalize!G47,5,IF(I77&lt;Normalize!G47,5,IF(I77&gt;Normalize!I47,0,((I77-Normalize!G47)/(Normalize!I47-Normalize!G47))*5)))+IF(I78=Normalize!G48,5,IF(I78&lt;Normalize!G48,5,IF(I78&gt;Normalize!I48,0,((I78-Normalize!G48)/(Normalize!I48-Normalize!G48))*5)))+IF(I79=Normalize!G49,5,IF(I79&lt;Normalize!G49,5,IF(I79&gt;Normalize!I49,0,((I79-Normalize!G49)/(Normalize!I49-Normalize!G49))*5)))+IF(I80=Normalize!G50,5,IF(I80&lt;Normalize!G50,5,IF(I80&gt;Normalize!I50,0,((I80-Normalize!G50)/(Normalize!I50-Normalize!G50))*5))))/8</f>
        <v>1.869318181818181</v>
      </c>
      <c r="J72" s="3"/>
      <c r="K72" s="50"/>
      <c r="L72" s="9"/>
      <c r="M72" s="3"/>
      <c r="N72" s="119"/>
      <c r="O72" s="74"/>
      <c r="P72" s="3"/>
    </row>
    <row r="73" spans="1:16" s="61" customFormat="1" ht="14.5" customHeight="1" x14ac:dyDescent="0.35">
      <c r="A73" s="26"/>
      <c r="B73" s="14"/>
      <c r="C73" s="68">
        <v>1.1000000000000001</v>
      </c>
      <c r="D73" s="77" t="s">
        <v>74</v>
      </c>
      <c r="E73" s="20"/>
      <c r="F73" s="20"/>
      <c r="G73" s="17"/>
      <c r="H73" s="259" t="s">
        <v>26</v>
      </c>
      <c r="I73" s="203">
        <v>0.02</v>
      </c>
      <c r="J73" s="3"/>
      <c r="K73" s="204">
        <f t="shared" ref="K73:K80" si="0">C73</f>
        <v>1.1000000000000001</v>
      </c>
      <c r="L73" s="35"/>
      <c r="M73" s="3"/>
      <c r="N73" s="119"/>
      <c r="O73" s="74"/>
      <c r="P73" s="3"/>
    </row>
    <row r="74" spans="1:16" s="61" customFormat="1" ht="14.5" customHeight="1" x14ac:dyDescent="0.35">
      <c r="A74" s="26"/>
      <c r="B74" s="14"/>
      <c r="C74" s="68">
        <v>1.2</v>
      </c>
      <c r="D74" s="77" t="s">
        <v>75</v>
      </c>
      <c r="E74" s="20"/>
      <c r="F74" s="20"/>
      <c r="G74" s="17"/>
      <c r="H74" s="259" t="s">
        <v>26</v>
      </c>
      <c r="I74" s="75">
        <v>0.22</v>
      </c>
      <c r="J74" s="3"/>
      <c r="K74" s="204">
        <f t="shared" si="0"/>
        <v>1.2</v>
      </c>
      <c r="L74" s="35"/>
      <c r="M74" s="3"/>
      <c r="N74" s="119"/>
      <c r="O74" s="74"/>
      <c r="P74" s="3"/>
    </row>
    <row r="75" spans="1:16" s="61" customFormat="1" ht="14.5" customHeight="1" x14ac:dyDescent="0.35">
      <c r="A75" s="26"/>
      <c r="B75" s="14"/>
      <c r="C75" s="68">
        <v>1.3</v>
      </c>
      <c r="D75" s="77" t="s">
        <v>76</v>
      </c>
      <c r="E75" s="20"/>
      <c r="F75" s="20"/>
      <c r="G75" s="17"/>
      <c r="H75" s="259" t="s">
        <v>26</v>
      </c>
      <c r="I75" s="75">
        <v>8.0000000000000002E-3</v>
      </c>
      <c r="J75" s="3"/>
      <c r="K75" s="204">
        <f t="shared" si="0"/>
        <v>1.3</v>
      </c>
      <c r="L75" s="35"/>
      <c r="M75" s="3"/>
      <c r="N75" s="119"/>
      <c r="O75" s="74"/>
      <c r="P75" s="3"/>
    </row>
    <row r="76" spans="1:16" s="61" customFormat="1" ht="14.5" customHeight="1" x14ac:dyDescent="0.35">
      <c r="A76" s="26"/>
      <c r="B76" s="14"/>
      <c r="C76" s="262">
        <v>1.4</v>
      </c>
      <c r="D76" s="77" t="s">
        <v>77</v>
      </c>
      <c r="E76" s="20"/>
      <c r="F76" s="20"/>
      <c r="G76" s="17"/>
      <c r="H76" s="259" t="s">
        <v>26</v>
      </c>
      <c r="I76" s="75">
        <v>0.01</v>
      </c>
      <c r="J76" s="3"/>
      <c r="K76" s="263">
        <f t="shared" si="0"/>
        <v>1.4</v>
      </c>
      <c r="L76" s="35"/>
      <c r="M76" s="3"/>
      <c r="N76" s="119"/>
      <c r="O76" s="74"/>
      <c r="P76" s="3"/>
    </row>
    <row r="77" spans="1:16" s="61" customFormat="1" ht="14.5" customHeight="1" x14ac:dyDescent="0.35">
      <c r="A77" s="26"/>
      <c r="B77" s="14"/>
      <c r="C77" s="262">
        <v>1.5</v>
      </c>
      <c r="D77" s="77" t="s">
        <v>78</v>
      </c>
      <c r="E77" s="20"/>
      <c r="F77" s="20"/>
      <c r="G77" s="17"/>
      <c r="H77" s="259" t="s">
        <v>26</v>
      </c>
      <c r="I77" s="75">
        <v>0.3</v>
      </c>
      <c r="J77" s="3"/>
      <c r="K77" s="263">
        <f t="shared" si="0"/>
        <v>1.5</v>
      </c>
      <c r="L77" s="35"/>
      <c r="M77" s="3"/>
      <c r="N77" s="119"/>
      <c r="O77" s="74"/>
      <c r="P77" s="3"/>
    </row>
    <row r="78" spans="1:16" s="61" customFormat="1" ht="14.5" customHeight="1" x14ac:dyDescent="0.35">
      <c r="A78" s="26"/>
      <c r="B78" s="14"/>
      <c r="C78" s="262">
        <v>1.6</v>
      </c>
      <c r="D78" s="77" t="s">
        <v>79</v>
      </c>
      <c r="E78" s="20"/>
      <c r="F78" s="20"/>
      <c r="G78" s="17"/>
      <c r="H78" s="259" t="s">
        <v>26</v>
      </c>
      <c r="I78" s="75">
        <v>0.7</v>
      </c>
      <c r="J78" s="3"/>
      <c r="K78" s="263">
        <f t="shared" si="0"/>
        <v>1.6</v>
      </c>
      <c r="L78" s="35"/>
      <c r="M78" s="3"/>
      <c r="N78" s="119"/>
      <c r="O78" s="74"/>
      <c r="P78" s="3"/>
    </row>
    <row r="79" spans="1:16" s="61" customFormat="1" ht="14.5" customHeight="1" x14ac:dyDescent="0.35">
      <c r="A79" s="26"/>
      <c r="B79" s="14"/>
      <c r="C79" s="262">
        <v>1.7</v>
      </c>
      <c r="D79" s="77" t="s">
        <v>80</v>
      </c>
      <c r="E79" s="20"/>
      <c r="F79" s="20"/>
      <c r="G79" s="17"/>
      <c r="H79" s="259" t="s">
        <v>26</v>
      </c>
      <c r="I79" s="75">
        <v>0.09</v>
      </c>
      <c r="J79" s="3"/>
      <c r="K79" s="263">
        <f t="shared" si="0"/>
        <v>1.7</v>
      </c>
      <c r="L79" s="35"/>
      <c r="M79" s="3"/>
      <c r="N79" s="119"/>
      <c r="O79" s="74"/>
      <c r="P79" s="3"/>
    </row>
    <row r="80" spans="1:16" s="61" customFormat="1" ht="14.5" customHeight="1" thickBot="1" x14ac:dyDescent="0.4">
      <c r="A80" s="26"/>
      <c r="B80" s="14"/>
      <c r="C80" s="262">
        <v>1.8</v>
      </c>
      <c r="D80" s="77" t="s">
        <v>81</v>
      </c>
      <c r="E80" s="20"/>
      <c r="F80" s="20"/>
      <c r="G80" s="17"/>
      <c r="H80" s="259" t="s">
        <v>26</v>
      </c>
      <c r="I80" s="205">
        <v>0.12</v>
      </c>
      <c r="J80" s="3"/>
      <c r="K80" s="263">
        <f t="shared" si="0"/>
        <v>1.8</v>
      </c>
      <c r="L80" s="35"/>
      <c r="M80" s="3"/>
      <c r="N80" s="119"/>
      <c r="O80" s="74"/>
      <c r="P80" s="3"/>
    </row>
    <row r="81" spans="1:16" s="61" customFormat="1" ht="18.5" customHeight="1" thickBot="1" x14ac:dyDescent="0.45">
      <c r="A81" s="26"/>
      <c r="B81" s="14">
        <v>2</v>
      </c>
      <c r="C81" s="78" t="s">
        <v>82</v>
      </c>
      <c r="D81" s="14"/>
      <c r="E81" s="20"/>
      <c r="F81" s="20"/>
      <c r="G81" s="17"/>
      <c r="H81" s="257" t="s">
        <v>22</v>
      </c>
      <c r="I81" s="258">
        <f>(IF(I82=Normalize!G52,5,IF(I82&lt;Normalize!G52,5,IF(I82&gt;Normalize!I52,0,5-((I82-Normalize!G52)/(Normalize!I52-Normalize!G52))*5)))+IF(I83=Normalize!G53,5,IF(I83&lt;Normalize!G53,5,IF(I83&gt;Normalize!I53,0,5-((I83-Normalize!G53)/(Normalize!I53-Normalize!G53))*5)))+IF(I84=Normalize!G54,5,IF(I84&lt;Normalize!G54,5,IF(I84&gt;Normalize!I54,0,5-((I84-Normalize!G54)/(Normalize!I54-Normalize!G54))*5)))+IF(I85=Normalize!G55,5,IF(I85&lt;Normalize!G55,5,IF(I85&gt;Normalize!I55,0,5-((I85-Normalize!G55)/(Normalize!I55-Normalize!G55))*5)))+IF(I86=Normalize!G56,5,IF(I86&lt;Normalize!G56,5,IF(I86&gt;Normalize!I56,0,5-((I86-Normalize!G56)/(Normalize!I56-Normalize!G56))*5)))+IF(I87=Normalize!G57,5,IF(I87&lt;Normalize!G57,5,IF(I87&gt;Normalize!I57,0,5-((I87-Normalize!G57)/(Normalize!I57-Normalize!G57))*5)))+IF(Normalize!I58&lt;&gt;Normalize!G58,5-((I88-Normalize!G58)/(Normalize!I58-Normalize!G58))*5,0)+IF(I87=Normalize!G58,5,0))/7</f>
        <v>2.4404761904761902</v>
      </c>
      <c r="J81" s="3"/>
      <c r="K81" s="79"/>
      <c r="L81" s="9"/>
      <c r="M81" s="3"/>
      <c r="N81" s="119"/>
      <c r="O81" s="74"/>
      <c r="P81" s="3"/>
    </row>
    <row r="82" spans="1:16" s="61" customFormat="1" ht="14.5" customHeight="1" x14ac:dyDescent="0.35">
      <c r="A82" s="26"/>
      <c r="B82" s="14"/>
      <c r="C82" s="256" t="s">
        <v>83</v>
      </c>
      <c r="D82" s="77" t="s">
        <v>84</v>
      </c>
      <c r="E82" s="20"/>
      <c r="F82" s="20"/>
      <c r="G82" s="17"/>
      <c r="H82" s="259" t="s">
        <v>29</v>
      </c>
      <c r="I82" s="206">
        <v>0.05</v>
      </c>
      <c r="J82" s="3"/>
      <c r="K82" s="263" t="str">
        <f t="shared" ref="K82:K88" si="1">C82</f>
        <v>2.1</v>
      </c>
      <c r="L82" s="35"/>
      <c r="M82" s="3"/>
      <c r="N82" s="119"/>
      <c r="O82" s="74"/>
      <c r="P82" s="3"/>
    </row>
    <row r="83" spans="1:16" s="61" customFormat="1" ht="14.5" customHeight="1" x14ac:dyDescent="0.35">
      <c r="A83" s="26"/>
      <c r="B83" s="14"/>
      <c r="C83" s="256" t="s">
        <v>85</v>
      </c>
      <c r="D83" s="77" t="s">
        <v>86</v>
      </c>
      <c r="E83" s="20"/>
      <c r="F83" s="20"/>
      <c r="G83" s="17"/>
      <c r="H83" s="259" t="s">
        <v>29</v>
      </c>
      <c r="I83" s="75">
        <v>0.05</v>
      </c>
      <c r="J83" s="3"/>
      <c r="K83" s="263" t="str">
        <f t="shared" si="1"/>
        <v>2.2</v>
      </c>
      <c r="L83" s="35"/>
      <c r="M83" s="3"/>
      <c r="N83" s="119"/>
      <c r="O83" s="74"/>
      <c r="P83" s="3"/>
    </row>
    <row r="84" spans="1:16" s="61" customFormat="1" x14ac:dyDescent="0.35">
      <c r="A84" s="26"/>
      <c r="B84" s="14"/>
      <c r="C84" s="256" t="s">
        <v>87</v>
      </c>
      <c r="D84" s="77" t="s">
        <v>88</v>
      </c>
      <c r="E84" s="20"/>
      <c r="F84" s="20"/>
      <c r="G84" s="17"/>
      <c r="H84" s="259" t="s">
        <v>29</v>
      </c>
      <c r="I84" s="75">
        <v>0.05</v>
      </c>
      <c r="J84" s="3"/>
      <c r="K84" s="263" t="str">
        <f t="shared" si="1"/>
        <v>2.3</v>
      </c>
      <c r="L84" s="35"/>
      <c r="M84" s="3"/>
      <c r="N84" s="119"/>
      <c r="O84" s="74"/>
      <c r="P84" s="3"/>
    </row>
    <row r="85" spans="1:16" s="61" customFormat="1" x14ac:dyDescent="0.3">
      <c r="A85" s="26"/>
      <c r="B85" s="14"/>
      <c r="C85" s="256" t="s">
        <v>89</v>
      </c>
      <c r="D85" s="85" t="s">
        <v>90</v>
      </c>
      <c r="E85" s="20"/>
      <c r="F85" s="20"/>
      <c r="G85" s="17"/>
      <c r="H85" s="259" t="s">
        <v>29</v>
      </c>
      <c r="I85" s="75">
        <v>0.08</v>
      </c>
      <c r="J85" s="3"/>
      <c r="K85" s="263" t="str">
        <f t="shared" si="1"/>
        <v>2.4</v>
      </c>
      <c r="L85" s="35"/>
      <c r="M85" s="3"/>
      <c r="N85" s="119"/>
      <c r="O85" s="74"/>
      <c r="P85" s="3"/>
    </row>
    <row r="86" spans="1:16" s="61" customFormat="1" x14ac:dyDescent="0.3">
      <c r="A86" s="26"/>
      <c r="B86" s="14"/>
      <c r="C86" s="256" t="s">
        <v>91</v>
      </c>
      <c r="D86" s="85" t="s">
        <v>92</v>
      </c>
      <c r="E86" s="20"/>
      <c r="F86" s="20"/>
      <c r="G86" s="85"/>
      <c r="H86" s="259" t="s">
        <v>29</v>
      </c>
      <c r="I86" s="75">
        <v>0.01</v>
      </c>
      <c r="J86" s="3"/>
      <c r="K86" s="263" t="str">
        <f t="shared" si="1"/>
        <v>2.5</v>
      </c>
      <c r="L86" s="35"/>
      <c r="M86" s="3"/>
      <c r="N86" s="119"/>
      <c r="O86" s="74"/>
      <c r="P86" s="3"/>
    </row>
    <row r="87" spans="1:16" s="61" customFormat="1" x14ac:dyDescent="0.35">
      <c r="A87" s="26"/>
      <c r="B87" s="14"/>
      <c r="C87" s="256" t="s">
        <v>93</v>
      </c>
      <c r="D87" s="77" t="s">
        <v>94</v>
      </c>
      <c r="E87" s="20"/>
      <c r="F87" s="20"/>
      <c r="H87" s="259" t="s">
        <v>29</v>
      </c>
      <c r="I87" s="75">
        <v>8.9999999999999993E-3</v>
      </c>
      <c r="J87" s="3"/>
      <c r="K87" s="263" t="str">
        <f t="shared" si="1"/>
        <v>2.6</v>
      </c>
      <c r="L87" s="35"/>
      <c r="M87" s="3"/>
      <c r="N87" s="119"/>
      <c r="O87" s="74"/>
      <c r="P87" s="3"/>
    </row>
    <row r="88" spans="1:16" s="61" customFormat="1" x14ac:dyDescent="0.35">
      <c r="A88" s="26"/>
      <c r="B88" s="14"/>
      <c r="C88" s="256" t="s">
        <v>95</v>
      </c>
      <c r="D88" s="77" t="s">
        <v>96</v>
      </c>
      <c r="E88" s="20"/>
      <c r="F88" s="20"/>
      <c r="H88" s="259" t="s">
        <v>26</v>
      </c>
      <c r="I88" s="75">
        <v>0.95</v>
      </c>
      <c r="J88" s="3"/>
      <c r="K88" s="263" t="str">
        <f t="shared" si="1"/>
        <v>2.7</v>
      </c>
      <c r="L88" s="35"/>
      <c r="M88" s="3"/>
      <c r="N88" s="119"/>
      <c r="O88" s="74"/>
      <c r="P88" s="3"/>
    </row>
    <row r="89" spans="1:16" s="61" customFormat="1" ht="14.5" customHeight="1" thickBot="1" x14ac:dyDescent="0.4">
      <c r="A89" s="26"/>
      <c r="B89" s="14"/>
      <c r="C89" s="256"/>
      <c r="D89" s="77"/>
      <c r="E89" s="20"/>
      <c r="F89" s="20"/>
      <c r="H89" s="259"/>
      <c r="I89" s="264"/>
      <c r="J89" s="3"/>
      <c r="K89" s="175"/>
      <c r="L89" s="1"/>
      <c r="M89" s="3"/>
      <c r="N89" s="119"/>
      <c r="O89" s="74"/>
      <c r="P89" s="3"/>
    </row>
    <row r="90" spans="1:16" s="61" customFormat="1" ht="23" customHeight="1" thickBot="1" x14ac:dyDescent="0.45">
      <c r="B90" s="11">
        <v>3</v>
      </c>
      <c r="C90" s="113" t="s">
        <v>97</v>
      </c>
      <c r="D90" s="16"/>
      <c r="E90" s="16"/>
      <c r="F90" s="16"/>
      <c r="G90" s="3"/>
      <c r="H90" s="159" t="s">
        <v>17</v>
      </c>
      <c r="I90" s="265">
        <f>(I92*3+I97*2+I101*60)/65</f>
        <v>3.0769230769230771</v>
      </c>
      <c r="J90" s="14"/>
      <c r="K90" s="2"/>
      <c r="L90" s="2"/>
      <c r="M90" s="3"/>
      <c r="N90" s="119"/>
      <c r="O90" s="74"/>
      <c r="P90" s="3"/>
    </row>
    <row r="91" spans="1:16" s="61" customFormat="1" ht="17" customHeight="1" thickBot="1" x14ac:dyDescent="0.45">
      <c r="B91" s="11"/>
      <c r="C91" s="113"/>
      <c r="D91" s="16"/>
      <c r="E91" s="16"/>
      <c r="F91" s="16"/>
      <c r="G91" s="3"/>
      <c r="H91" s="159"/>
      <c r="I91" s="207"/>
      <c r="J91" s="14"/>
      <c r="K91" s="2"/>
      <c r="L91" s="2"/>
      <c r="M91" s="3"/>
      <c r="N91" s="119"/>
      <c r="O91" s="74"/>
      <c r="P91" s="3"/>
    </row>
    <row r="92" spans="1:16" s="61" customFormat="1" ht="14.5" customHeight="1" thickBot="1" x14ac:dyDescent="0.35">
      <c r="B92" s="20">
        <v>4</v>
      </c>
      <c r="C92" s="266" t="s">
        <v>98</v>
      </c>
      <c r="E92" s="16"/>
      <c r="F92" s="16"/>
      <c r="G92" s="3"/>
      <c r="H92" s="267" t="s">
        <v>22</v>
      </c>
      <c r="I92" s="255">
        <f>SUM(I93:I95)/3</f>
        <v>5</v>
      </c>
      <c r="J92" s="14"/>
      <c r="K92" s="2"/>
      <c r="L92" s="2"/>
      <c r="M92" s="3"/>
      <c r="N92" s="119"/>
      <c r="O92" s="74"/>
      <c r="P92" s="3"/>
    </row>
    <row r="93" spans="1:16" s="61" customFormat="1" ht="14.5" customHeight="1" x14ac:dyDescent="0.3">
      <c r="B93" s="20"/>
      <c r="C93" s="256" t="s">
        <v>99</v>
      </c>
      <c r="D93" s="260" t="s">
        <v>100</v>
      </c>
      <c r="E93" s="16"/>
      <c r="F93" s="16"/>
      <c r="G93" s="3"/>
      <c r="H93" s="259" t="s">
        <v>101</v>
      </c>
      <c r="I93" s="208">
        <v>5</v>
      </c>
      <c r="J93" s="14"/>
      <c r="K93" s="268" t="str">
        <f>C93</f>
        <v>4.1</v>
      </c>
      <c r="L93" s="144"/>
      <c r="M93" s="3"/>
      <c r="N93" s="119"/>
      <c r="O93" s="74"/>
      <c r="P93" s="3"/>
    </row>
    <row r="94" spans="1:16" s="61" customFormat="1" ht="14.5" customHeight="1" x14ac:dyDescent="0.3">
      <c r="B94" s="20"/>
      <c r="C94" s="256" t="s">
        <v>102</v>
      </c>
      <c r="D94" s="260" t="s">
        <v>103</v>
      </c>
      <c r="E94" s="16"/>
      <c r="F94" s="16"/>
      <c r="G94" s="3"/>
      <c r="H94" s="259" t="s">
        <v>101</v>
      </c>
      <c r="I94" s="160">
        <v>5</v>
      </c>
      <c r="J94" s="14"/>
      <c r="K94" s="268" t="str">
        <f>C94</f>
        <v>4.2</v>
      </c>
      <c r="L94" s="144"/>
      <c r="M94" s="3"/>
      <c r="N94" s="119"/>
      <c r="O94" s="74"/>
      <c r="P94" s="3"/>
    </row>
    <row r="95" spans="1:16" s="61" customFormat="1" ht="14.5" customHeight="1" x14ac:dyDescent="0.3">
      <c r="B95" s="20"/>
      <c r="C95" s="256" t="s">
        <v>104</v>
      </c>
      <c r="D95" s="260" t="s">
        <v>105</v>
      </c>
      <c r="E95" s="16"/>
      <c r="F95" s="16"/>
      <c r="G95" s="3"/>
      <c r="H95" s="259" t="s">
        <v>101</v>
      </c>
      <c r="I95" s="160">
        <v>5</v>
      </c>
      <c r="J95" s="14"/>
      <c r="K95" s="268" t="str">
        <f>C95</f>
        <v>4.3</v>
      </c>
      <c r="L95" s="144"/>
      <c r="M95" s="3"/>
      <c r="N95" s="119"/>
      <c r="O95" s="74"/>
      <c r="P95" s="3"/>
    </row>
    <row r="96" spans="1:16" s="61" customFormat="1" ht="14.5" customHeight="1" thickBot="1" x14ac:dyDescent="0.35">
      <c r="B96" s="20"/>
      <c r="C96" s="256"/>
      <c r="D96" s="260"/>
      <c r="E96" s="16"/>
      <c r="F96" s="16"/>
      <c r="G96" s="3"/>
      <c r="H96" s="159"/>
      <c r="I96" s="5"/>
      <c r="J96" s="14"/>
      <c r="K96" s="2"/>
      <c r="L96" s="2"/>
      <c r="M96" s="3"/>
      <c r="N96" s="119"/>
      <c r="O96" s="74"/>
      <c r="P96" s="3"/>
    </row>
    <row r="97" spans="2:16" s="61" customFormat="1" ht="14.5" customHeight="1" thickBot="1" x14ac:dyDescent="0.35">
      <c r="B97" s="20">
        <v>2</v>
      </c>
      <c r="C97" s="209" t="s">
        <v>106</v>
      </c>
      <c r="D97" s="260"/>
      <c r="E97" s="16"/>
      <c r="F97" s="16"/>
      <c r="G97" s="3"/>
      <c r="H97" s="254" t="s">
        <v>22</v>
      </c>
      <c r="I97" s="255">
        <f>(I98+I99)/2</f>
        <v>5</v>
      </c>
      <c r="J97" s="14"/>
      <c r="K97" s="2"/>
      <c r="L97" s="2"/>
      <c r="M97" s="3"/>
      <c r="N97" s="119"/>
      <c r="O97" s="74"/>
      <c r="P97" s="3"/>
    </row>
    <row r="98" spans="2:16" s="61" customFormat="1" ht="14.5" customHeight="1" x14ac:dyDescent="0.3">
      <c r="B98" s="20"/>
      <c r="C98" s="256">
        <v>2.1</v>
      </c>
      <c r="D98" s="260" t="s">
        <v>107</v>
      </c>
      <c r="E98" s="16"/>
      <c r="F98" s="16"/>
      <c r="G98" s="3"/>
      <c r="H98" s="259" t="s">
        <v>101</v>
      </c>
      <c r="I98" s="160">
        <v>5</v>
      </c>
      <c r="J98" s="14"/>
      <c r="K98" s="268">
        <f>C98</f>
        <v>2.1</v>
      </c>
      <c r="L98" s="144"/>
      <c r="M98" s="3"/>
      <c r="N98" s="119"/>
      <c r="O98" s="74"/>
      <c r="P98" s="3"/>
    </row>
    <row r="99" spans="2:16" s="61" customFormat="1" ht="14.5" customHeight="1" x14ac:dyDescent="0.3">
      <c r="B99" s="20"/>
      <c r="C99" s="256">
        <v>2.2000000000000002</v>
      </c>
      <c r="D99" s="260" t="s">
        <v>108</v>
      </c>
      <c r="E99" s="16"/>
      <c r="F99" s="16"/>
      <c r="G99" s="3"/>
      <c r="H99" s="259" t="s">
        <v>101</v>
      </c>
      <c r="I99" s="160">
        <v>5</v>
      </c>
      <c r="J99" s="14"/>
      <c r="K99" s="268">
        <f>C99</f>
        <v>2.2000000000000002</v>
      </c>
      <c r="L99" s="144"/>
      <c r="M99" s="3"/>
      <c r="N99" s="119"/>
      <c r="O99" s="74"/>
      <c r="P99" s="3"/>
    </row>
    <row r="100" spans="2:16" s="61" customFormat="1" ht="14.5" customHeight="1" thickBot="1" x14ac:dyDescent="0.35">
      <c r="E100" s="16"/>
      <c r="F100" s="16"/>
      <c r="G100" s="3"/>
      <c r="H100" s="159"/>
      <c r="I100" s="5"/>
      <c r="J100" s="14"/>
      <c r="K100" s="2"/>
      <c r="L100" s="2"/>
      <c r="M100" s="3"/>
      <c r="N100" s="119"/>
      <c r="O100" s="74"/>
      <c r="P100" s="3"/>
    </row>
    <row r="101" spans="2:16" s="61" customFormat="1" ht="16.5" customHeight="1" thickBot="1" x14ac:dyDescent="0.4">
      <c r="B101" s="20">
        <v>3</v>
      </c>
      <c r="C101" s="266" t="s">
        <v>109</v>
      </c>
      <c r="D101" s="16"/>
      <c r="E101" s="266"/>
      <c r="F101" s="161"/>
      <c r="G101" s="161"/>
      <c r="H101" s="254" t="s">
        <v>19</v>
      </c>
      <c r="I101" s="255">
        <f>(I102*10+I113*10+I124*10+I135*10+I146*10+I157*10)/60</f>
        <v>2.9166666666666665</v>
      </c>
      <c r="J101" s="14"/>
      <c r="K101" s="2"/>
      <c r="L101" s="2"/>
      <c r="M101" s="3"/>
      <c r="N101" s="119"/>
      <c r="O101" s="74"/>
      <c r="P101" s="3"/>
    </row>
    <row r="102" spans="2:16" s="61" customFormat="1" ht="19.5" customHeight="1" thickBot="1" x14ac:dyDescent="0.4">
      <c r="C102" s="158">
        <v>3.1</v>
      </c>
      <c r="D102" s="210" t="s">
        <v>110</v>
      </c>
      <c r="E102" s="158"/>
      <c r="F102" s="161"/>
      <c r="G102" s="161"/>
      <c r="H102" s="254" t="s">
        <v>22</v>
      </c>
      <c r="I102" s="255">
        <f>SUM(I103:I112)/10</f>
        <v>3.5</v>
      </c>
      <c r="J102" s="14"/>
      <c r="K102" s="2"/>
      <c r="L102" s="2"/>
      <c r="M102" s="3"/>
      <c r="N102" s="119"/>
      <c r="O102" s="74"/>
      <c r="P102" s="3"/>
    </row>
    <row r="103" spans="2:16" s="61" customFormat="1" ht="14.5" customHeight="1" x14ac:dyDescent="0.35">
      <c r="D103" s="85" t="s">
        <v>111</v>
      </c>
      <c r="E103" s="158" t="s">
        <v>112</v>
      </c>
      <c r="G103" s="156"/>
      <c r="H103" s="259" t="s">
        <v>101</v>
      </c>
      <c r="I103" s="160">
        <v>5</v>
      </c>
      <c r="J103" s="269"/>
      <c r="K103" s="268" t="str">
        <f t="shared" ref="K103:K112" si="2">D103</f>
        <v>3.1.1</v>
      </c>
      <c r="L103" s="144"/>
      <c r="M103" s="3"/>
      <c r="N103" s="119"/>
      <c r="O103" s="74"/>
      <c r="P103" s="3"/>
    </row>
    <row r="104" spans="2:16" s="61" customFormat="1" ht="14.5" customHeight="1" x14ac:dyDescent="0.35">
      <c r="C104" s="266"/>
      <c r="D104" s="85" t="s">
        <v>113</v>
      </c>
      <c r="E104" s="158" t="s">
        <v>114</v>
      </c>
      <c r="G104" s="156"/>
      <c r="H104" s="259" t="s">
        <v>101</v>
      </c>
      <c r="I104" s="160">
        <v>5</v>
      </c>
      <c r="J104" s="269"/>
      <c r="K104" s="268" t="str">
        <f t="shared" si="2"/>
        <v>3.1.2</v>
      </c>
      <c r="L104" s="144"/>
      <c r="M104" s="3"/>
      <c r="N104" s="119"/>
      <c r="O104" s="74"/>
      <c r="P104" s="3"/>
    </row>
    <row r="105" spans="2:16" s="61" customFormat="1" ht="14.5" customHeight="1" x14ac:dyDescent="0.35">
      <c r="C105" s="266"/>
      <c r="D105" s="85" t="s">
        <v>115</v>
      </c>
      <c r="E105" s="158" t="s">
        <v>116</v>
      </c>
      <c r="G105" s="156"/>
      <c r="H105" s="259" t="s">
        <v>101</v>
      </c>
      <c r="I105" s="160">
        <v>0</v>
      </c>
      <c r="K105" s="268" t="str">
        <f t="shared" si="2"/>
        <v>3.1.3</v>
      </c>
      <c r="L105" s="144"/>
      <c r="M105" s="3"/>
      <c r="N105" s="119"/>
      <c r="O105" s="74"/>
      <c r="P105" s="3"/>
    </row>
    <row r="106" spans="2:16" s="61" customFormat="1" ht="14.5" customHeight="1" x14ac:dyDescent="0.35">
      <c r="C106" s="266"/>
      <c r="D106" s="85" t="s">
        <v>117</v>
      </c>
      <c r="E106" s="158" t="s">
        <v>118</v>
      </c>
      <c r="G106" s="156"/>
      <c r="H106" s="259" t="s">
        <v>101</v>
      </c>
      <c r="I106" s="160">
        <v>0</v>
      </c>
      <c r="K106" s="268" t="str">
        <f t="shared" si="2"/>
        <v>3.1.4</v>
      </c>
      <c r="L106" s="144"/>
      <c r="M106" s="3"/>
      <c r="N106" s="119"/>
      <c r="O106" s="74"/>
      <c r="P106" s="3"/>
    </row>
    <row r="107" spans="2:16" s="61" customFormat="1" ht="14.5" customHeight="1" x14ac:dyDescent="0.35">
      <c r="C107" s="266"/>
      <c r="D107" s="85" t="s">
        <v>119</v>
      </c>
      <c r="E107" s="158" t="s">
        <v>120</v>
      </c>
      <c r="G107" s="156"/>
      <c r="H107" s="259" t="s">
        <v>101</v>
      </c>
      <c r="I107" s="160">
        <v>5</v>
      </c>
      <c r="K107" s="268" t="str">
        <f t="shared" si="2"/>
        <v>3.1.5</v>
      </c>
      <c r="L107" s="144"/>
      <c r="M107" s="3"/>
      <c r="N107" s="119"/>
      <c r="O107" s="74"/>
      <c r="P107" s="3"/>
    </row>
    <row r="108" spans="2:16" s="61" customFormat="1" ht="14.5" customHeight="1" x14ac:dyDescent="0.35">
      <c r="D108" s="85" t="s">
        <v>121</v>
      </c>
      <c r="E108" s="158" t="s">
        <v>122</v>
      </c>
      <c r="G108" s="156"/>
      <c r="H108" s="259" t="s">
        <v>101</v>
      </c>
      <c r="I108" s="160">
        <v>5</v>
      </c>
      <c r="K108" s="268" t="str">
        <f t="shared" si="2"/>
        <v>3.1.6</v>
      </c>
      <c r="L108" s="144"/>
      <c r="M108" s="3"/>
      <c r="N108" s="119"/>
      <c r="O108" s="74"/>
      <c r="P108" s="3"/>
    </row>
    <row r="109" spans="2:16" s="61" customFormat="1" ht="14.5" customHeight="1" x14ac:dyDescent="0.35">
      <c r="D109" s="85" t="s">
        <v>123</v>
      </c>
      <c r="E109" s="158" t="s">
        <v>124</v>
      </c>
      <c r="G109" s="156"/>
      <c r="H109" s="259" t="s">
        <v>101</v>
      </c>
      <c r="I109" s="160">
        <v>5</v>
      </c>
      <c r="J109" s="269"/>
      <c r="K109" s="268" t="str">
        <f t="shared" si="2"/>
        <v>3.1.7</v>
      </c>
      <c r="L109" s="144"/>
      <c r="M109" s="3"/>
      <c r="N109" s="119"/>
      <c r="O109" s="74"/>
      <c r="P109" s="3"/>
    </row>
    <row r="110" spans="2:16" s="61" customFormat="1" ht="14.5" customHeight="1" x14ac:dyDescent="0.35">
      <c r="D110" s="85" t="s">
        <v>125</v>
      </c>
      <c r="E110" s="158" t="s">
        <v>126</v>
      </c>
      <c r="G110" s="156"/>
      <c r="H110" s="259" t="s">
        <v>101</v>
      </c>
      <c r="I110" s="160">
        <v>5</v>
      </c>
      <c r="J110" s="269"/>
      <c r="K110" s="268" t="str">
        <f t="shared" si="2"/>
        <v>3.1.8</v>
      </c>
      <c r="L110" s="144"/>
      <c r="M110" s="3"/>
      <c r="N110" s="119"/>
      <c r="O110" s="74"/>
      <c r="P110" s="3"/>
    </row>
    <row r="111" spans="2:16" s="61" customFormat="1" ht="14.5" customHeight="1" x14ac:dyDescent="0.35">
      <c r="D111" s="85" t="s">
        <v>127</v>
      </c>
      <c r="E111" s="158" t="s">
        <v>128</v>
      </c>
      <c r="G111" s="156"/>
      <c r="H111" s="259" t="s">
        <v>101</v>
      </c>
      <c r="I111" s="160">
        <v>5</v>
      </c>
      <c r="J111" s="269"/>
      <c r="K111" s="268" t="str">
        <f t="shared" si="2"/>
        <v>3.1.9</v>
      </c>
      <c r="L111" s="144"/>
      <c r="M111" s="3"/>
      <c r="N111" s="119"/>
      <c r="O111" s="74"/>
      <c r="P111" s="3"/>
    </row>
    <row r="112" spans="2:16" s="61" customFormat="1" ht="14.5" customHeight="1" thickBot="1" x14ac:dyDescent="0.4">
      <c r="D112" s="85" t="s">
        <v>129</v>
      </c>
      <c r="E112" s="158" t="s">
        <v>130</v>
      </c>
      <c r="G112" s="156"/>
      <c r="H112" s="259" t="s">
        <v>101</v>
      </c>
      <c r="I112" s="160">
        <v>0</v>
      </c>
      <c r="K112" s="268" t="str">
        <f t="shared" si="2"/>
        <v>3.1.10</v>
      </c>
      <c r="L112" s="144"/>
      <c r="M112" s="3"/>
      <c r="N112" s="119"/>
      <c r="O112" s="74"/>
      <c r="P112" s="3"/>
    </row>
    <row r="113" spans="2:16" s="61" customFormat="1" ht="14.5" customHeight="1" thickBot="1" x14ac:dyDescent="0.4">
      <c r="C113" s="256">
        <v>3.2</v>
      </c>
      <c r="D113" s="210" t="s">
        <v>131</v>
      </c>
      <c r="E113" s="158"/>
      <c r="G113" s="156"/>
      <c r="H113" s="254" t="s">
        <v>22</v>
      </c>
      <c r="I113" s="255">
        <f>SUM(I114:I123)/10</f>
        <v>3.5</v>
      </c>
      <c r="K113" s="2"/>
      <c r="L113" s="2"/>
      <c r="M113" s="3"/>
      <c r="N113" s="119"/>
      <c r="O113" s="74"/>
      <c r="P113" s="3"/>
    </row>
    <row r="114" spans="2:16" s="61" customFormat="1" ht="14.5" customHeight="1" x14ac:dyDescent="0.35">
      <c r="D114" s="85" t="s">
        <v>132</v>
      </c>
      <c r="E114" s="158" t="s">
        <v>133</v>
      </c>
      <c r="G114" s="161"/>
      <c r="H114" s="259" t="s">
        <v>101</v>
      </c>
      <c r="I114" s="160">
        <v>5</v>
      </c>
      <c r="J114" s="269"/>
      <c r="K114" s="268" t="str">
        <f t="shared" ref="K114:K123" si="3">D114</f>
        <v>3.2.1</v>
      </c>
      <c r="L114" s="144"/>
      <c r="M114" s="3"/>
      <c r="N114" s="119"/>
      <c r="O114" s="74"/>
      <c r="P114" s="3"/>
    </row>
    <row r="115" spans="2:16" s="61" customFormat="1" ht="14.5" customHeight="1" x14ac:dyDescent="0.35">
      <c r="D115" s="53" t="s">
        <v>134</v>
      </c>
      <c r="E115" s="158" t="s">
        <v>135</v>
      </c>
      <c r="G115" s="161"/>
      <c r="H115" s="259" t="s">
        <v>101</v>
      </c>
      <c r="I115" s="160">
        <v>5</v>
      </c>
      <c r="K115" s="268" t="str">
        <f t="shared" si="3"/>
        <v>3.2.2</v>
      </c>
      <c r="L115" s="144"/>
      <c r="M115" s="3"/>
      <c r="N115" s="119"/>
      <c r="O115" s="74"/>
      <c r="P115" s="3"/>
    </row>
    <row r="116" spans="2:16" s="61" customFormat="1" ht="14.5" customHeight="1" x14ac:dyDescent="0.35">
      <c r="D116" s="53" t="s">
        <v>136</v>
      </c>
      <c r="E116" s="158" t="s">
        <v>137</v>
      </c>
      <c r="G116" s="161"/>
      <c r="H116" s="259" t="s">
        <v>101</v>
      </c>
      <c r="I116" s="160">
        <v>0</v>
      </c>
      <c r="J116" s="14"/>
      <c r="K116" s="268" t="str">
        <f t="shared" si="3"/>
        <v>3.2.3</v>
      </c>
      <c r="L116" s="144"/>
      <c r="M116" s="3"/>
      <c r="N116" s="119"/>
      <c r="O116" s="74"/>
      <c r="P116" s="3"/>
    </row>
    <row r="117" spans="2:16" s="61" customFormat="1" ht="14.5" customHeight="1" x14ac:dyDescent="0.35">
      <c r="B117" s="162"/>
      <c r="D117" s="53" t="s">
        <v>138</v>
      </c>
      <c r="E117" s="158" t="s">
        <v>139</v>
      </c>
      <c r="G117" s="161"/>
      <c r="H117" s="259" t="s">
        <v>101</v>
      </c>
      <c r="I117" s="160">
        <v>0</v>
      </c>
      <c r="J117" s="269"/>
      <c r="K117" s="268" t="str">
        <f t="shared" si="3"/>
        <v>3.2.4</v>
      </c>
      <c r="L117" s="144"/>
      <c r="M117" s="3"/>
      <c r="N117" s="119"/>
      <c r="O117" s="74"/>
      <c r="P117" s="3"/>
    </row>
    <row r="118" spans="2:16" s="61" customFormat="1" ht="14.5" customHeight="1" x14ac:dyDescent="0.35">
      <c r="B118" s="162"/>
      <c r="D118" s="53" t="s">
        <v>140</v>
      </c>
      <c r="E118" s="158" t="s">
        <v>141</v>
      </c>
      <c r="G118" s="161"/>
      <c r="H118" s="259" t="s">
        <v>101</v>
      </c>
      <c r="I118" s="160">
        <v>5</v>
      </c>
      <c r="J118" s="269"/>
      <c r="K118" s="268" t="str">
        <f t="shared" si="3"/>
        <v>3.2.5</v>
      </c>
      <c r="L118" s="144"/>
      <c r="M118" s="3"/>
      <c r="N118" s="119"/>
      <c r="O118" s="74"/>
      <c r="P118" s="3"/>
    </row>
    <row r="119" spans="2:16" s="61" customFormat="1" ht="14.5" customHeight="1" x14ac:dyDescent="0.35">
      <c r="B119" s="162"/>
      <c r="D119" s="53" t="s">
        <v>142</v>
      </c>
      <c r="E119" s="158" t="s">
        <v>143</v>
      </c>
      <c r="G119" s="161"/>
      <c r="H119" s="259" t="s">
        <v>101</v>
      </c>
      <c r="I119" s="160">
        <v>5</v>
      </c>
      <c r="J119" s="269"/>
      <c r="K119" s="268" t="str">
        <f t="shared" si="3"/>
        <v>3.2.6</v>
      </c>
      <c r="L119" s="144"/>
      <c r="M119" s="3"/>
      <c r="N119" s="119"/>
      <c r="O119" s="74"/>
      <c r="P119" s="3"/>
    </row>
    <row r="120" spans="2:16" s="61" customFormat="1" ht="14.5" customHeight="1" x14ac:dyDescent="0.35">
      <c r="D120" s="53" t="s">
        <v>144</v>
      </c>
      <c r="E120" s="158" t="s">
        <v>145</v>
      </c>
      <c r="G120" s="161"/>
      <c r="H120" s="259" t="s">
        <v>101</v>
      </c>
      <c r="I120" s="160">
        <v>5</v>
      </c>
      <c r="J120" s="269"/>
      <c r="K120" s="268" t="str">
        <f t="shared" si="3"/>
        <v>3.2.7</v>
      </c>
      <c r="L120" s="144"/>
      <c r="M120" s="3"/>
      <c r="N120" s="119"/>
      <c r="O120" s="74"/>
      <c r="P120" s="3"/>
    </row>
    <row r="121" spans="2:16" s="61" customFormat="1" ht="14.5" customHeight="1" x14ac:dyDescent="0.35">
      <c r="D121" s="53" t="s">
        <v>146</v>
      </c>
      <c r="E121" s="158" t="s">
        <v>147</v>
      </c>
      <c r="H121" s="259" t="s">
        <v>101</v>
      </c>
      <c r="I121" s="160">
        <v>5</v>
      </c>
      <c r="J121" s="269"/>
      <c r="K121" s="268" t="str">
        <f t="shared" si="3"/>
        <v>3.2.8</v>
      </c>
      <c r="L121" s="144"/>
      <c r="M121" s="3"/>
      <c r="N121" s="119"/>
      <c r="O121" s="74"/>
      <c r="P121" s="3"/>
    </row>
    <row r="122" spans="2:16" s="61" customFormat="1" ht="14.5" customHeight="1" x14ac:dyDescent="0.35">
      <c r="D122" s="53" t="s">
        <v>148</v>
      </c>
      <c r="E122" s="158" t="s">
        <v>149</v>
      </c>
      <c r="H122" s="259" t="s">
        <v>101</v>
      </c>
      <c r="I122" s="160">
        <v>5</v>
      </c>
      <c r="J122" s="269"/>
      <c r="K122" s="268" t="str">
        <f t="shared" si="3"/>
        <v>3.2.9</v>
      </c>
      <c r="L122" s="144"/>
      <c r="M122" s="3"/>
      <c r="N122" s="119"/>
      <c r="O122" s="74"/>
      <c r="P122" s="3"/>
    </row>
    <row r="123" spans="2:16" s="61" customFormat="1" ht="14.5" customHeight="1" thickBot="1" x14ac:dyDescent="0.4">
      <c r="D123" s="53" t="s">
        <v>150</v>
      </c>
      <c r="E123" s="158" t="s">
        <v>151</v>
      </c>
      <c r="H123" s="259" t="s">
        <v>101</v>
      </c>
      <c r="I123" s="160">
        <v>0</v>
      </c>
      <c r="K123" s="268" t="str">
        <f t="shared" si="3"/>
        <v>3.2.10</v>
      </c>
      <c r="L123" s="144"/>
      <c r="M123" s="3"/>
      <c r="N123" s="119"/>
      <c r="O123" s="74"/>
      <c r="P123" s="3"/>
    </row>
    <row r="124" spans="2:16" s="61" customFormat="1" ht="14.5" customHeight="1" thickBot="1" x14ac:dyDescent="0.4">
      <c r="C124" s="256">
        <v>3.3</v>
      </c>
      <c r="D124" s="156" t="s">
        <v>152</v>
      </c>
      <c r="E124" s="158"/>
      <c r="H124" s="254" t="s">
        <v>22</v>
      </c>
      <c r="I124" s="255">
        <f>SUM(I125:I134)/10</f>
        <v>3</v>
      </c>
      <c r="K124" s="2"/>
      <c r="L124" s="2"/>
      <c r="M124" s="3"/>
      <c r="N124" s="119"/>
      <c r="O124" s="74"/>
      <c r="P124" s="3"/>
    </row>
    <row r="125" spans="2:16" s="61" customFormat="1" ht="14.5" customHeight="1" x14ac:dyDescent="0.35">
      <c r="D125" s="53" t="s">
        <v>153</v>
      </c>
      <c r="E125" s="158" t="s">
        <v>154</v>
      </c>
      <c r="H125" s="259" t="s">
        <v>101</v>
      </c>
      <c r="I125" s="160">
        <v>0</v>
      </c>
      <c r="J125" s="14"/>
      <c r="K125" s="268" t="str">
        <f t="shared" ref="K125:K134" si="4">D125</f>
        <v>3.3.1</v>
      </c>
      <c r="L125" s="144"/>
      <c r="M125" s="3"/>
      <c r="N125" s="119"/>
      <c r="O125" s="74"/>
      <c r="P125" s="3"/>
    </row>
    <row r="126" spans="2:16" s="61" customFormat="1" ht="14.5" customHeight="1" x14ac:dyDescent="0.35">
      <c r="D126" s="53" t="s">
        <v>155</v>
      </c>
      <c r="E126" s="158" t="s">
        <v>156</v>
      </c>
      <c r="H126" s="259" t="s">
        <v>101</v>
      </c>
      <c r="I126" s="160">
        <v>0</v>
      </c>
      <c r="J126" s="269"/>
      <c r="K126" s="268" t="str">
        <f t="shared" si="4"/>
        <v>3.3.2</v>
      </c>
      <c r="L126" s="144"/>
      <c r="M126" s="3"/>
      <c r="N126" s="119"/>
      <c r="O126" s="74"/>
      <c r="P126" s="3"/>
    </row>
    <row r="127" spans="2:16" s="61" customFormat="1" ht="14.5" customHeight="1" x14ac:dyDescent="0.35">
      <c r="D127" s="53" t="s">
        <v>157</v>
      </c>
      <c r="E127" s="158" t="s">
        <v>158</v>
      </c>
      <c r="H127" s="259" t="s">
        <v>101</v>
      </c>
      <c r="I127" s="160">
        <v>5</v>
      </c>
      <c r="J127" s="269"/>
      <c r="K127" s="268" t="str">
        <f t="shared" si="4"/>
        <v>3.3.3</v>
      </c>
      <c r="L127" s="144"/>
      <c r="M127" s="3"/>
      <c r="N127" s="119"/>
      <c r="O127" s="74"/>
      <c r="P127" s="3"/>
    </row>
    <row r="128" spans="2:16" s="61" customFormat="1" ht="14.5" customHeight="1" x14ac:dyDescent="0.35">
      <c r="D128" s="53" t="s">
        <v>159</v>
      </c>
      <c r="E128" s="158" t="s">
        <v>160</v>
      </c>
      <c r="H128" s="259" t="s">
        <v>101</v>
      </c>
      <c r="I128" s="160">
        <v>5</v>
      </c>
      <c r="K128" s="268" t="str">
        <f t="shared" si="4"/>
        <v>3.3.4</v>
      </c>
      <c r="L128" s="144"/>
      <c r="M128" s="3"/>
      <c r="N128" s="119"/>
      <c r="O128" s="74"/>
      <c r="P128" s="3"/>
    </row>
    <row r="129" spans="2:16" s="61" customFormat="1" ht="14.5" customHeight="1" x14ac:dyDescent="0.35">
      <c r="D129" s="53" t="s">
        <v>161</v>
      </c>
      <c r="E129" s="158" t="s">
        <v>162</v>
      </c>
      <c r="H129" s="259" t="s">
        <v>101</v>
      </c>
      <c r="I129" s="160">
        <v>5</v>
      </c>
      <c r="K129" s="268" t="str">
        <f t="shared" si="4"/>
        <v>3.3.5</v>
      </c>
      <c r="L129" s="144"/>
      <c r="M129" s="3"/>
      <c r="N129" s="119"/>
      <c r="O129" s="74"/>
      <c r="P129" s="3"/>
    </row>
    <row r="130" spans="2:16" s="61" customFormat="1" ht="14.5" customHeight="1" x14ac:dyDescent="0.35">
      <c r="B130" s="162"/>
      <c r="D130" s="53" t="s">
        <v>163</v>
      </c>
      <c r="E130" s="158" t="s">
        <v>164</v>
      </c>
      <c r="H130" s="259" t="s">
        <v>101</v>
      </c>
      <c r="I130" s="160">
        <v>5</v>
      </c>
      <c r="K130" s="268" t="str">
        <f t="shared" si="4"/>
        <v>3.3.6</v>
      </c>
      <c r="L130" s="144"/>
      <c r="M130" s="3"/>
      <c r="N130" s="119"/>
      <c r="O130" s="74"/>
      <c r="P130" s="3"/>
    </row>
    <row r="131" spans="2:16" s="61" customFormat="1" ht="14.5" customHeight="1" x14ac:dyDescent="0.35">
      <c r="B131" s="162"/>
      <c r="D131" s="53" t="s">
        <v>165</v>
      </c>
      <c r="E131" s="158" t="s">
        <v>166</v>
      </c>
      <c r="H131" s="259" t="s">
        <v>101</v>
      </c>
      <c r="I131" s="160">
        <v>5</v>
      </c>
      <c r="J131" s="269"/>
      <c r="K131" s="268" t="str">
        <f t="shared" si="4"/>
        <v>3.3.7</v>
      </c>
      <c r="L131" s="144"/>
      <c r="M131" s="3"/>
      <c r="N131" s="119"/>
      <c r="O131" s="74"/>
      <c r="P131" s="3"/>
    </row>
    <row r="132" spans="2:16" s="61" customFormat="1" ht="14.5" customHeight="1" x14ac:dyDescent="0.35">
      <c r="B132" s="162"/>
      <c r="D132" s="53" t="s">
        <v>167</v>
      </c>
      <c r="E132" s="158" t="s">
        <v>168</v>
      </c>
      <c r="H132" s="259" t="s">
        <v>101</v>
      </c>
      <c r="I132" s="160">
        <v>0</v>
      </c>
      <c r="K132" s="268" t="str">
        <f t="shared" si="4"/>
        <v>3.3.8</v>
      </c>
      <c r="L132" s="144"/>
      <c r="M132" s="3"/>
      <c r="N132" s="119"/>
      <c r="O132" s="74"/>
      <c r="P132" s="3"/>
    </row>
    <row r="133" spans="2:16" s="61" customFormat="1" ht="14.5" customHeight="1" x14ac:dyDescent="0.35">
      <c r="B133" s="162"/>
      <c r="D133" s="53" t="s">
        <v>169</v>
      </c>
      <c r="E133" s="158" t="s">
        <v>170</v>
      </c>
      <c r="H133" s="259" t="s">
        <v>101</v>
      </c>
      <c r="I133" s="160">
        <v>5</v>
      </c>
      <c r="J133" s="269"/>
      <c r="K133" s="268" t="str">
        <f t="shared" si="4"/>
        <v>3.3.9</v>
      </c>
      <c r="L133" s="144"/>
      <c r="M133" s="3"/>
      <c r="N133" s="119"/>
      <c r="O133" s="74"/>
      <c r="P133" s="3"/>
    </row>
    <row r="134" spans="2:16" s="61" customFormat="1" ht="14.5" customHeight="1" thickBot="1" x14ac:dyDescent="0.4">
      <c r="B134" s="162"/>
      <c r="D134" s="53" t="s">
        <v>171</v>
      </c>
      <c r="E134" s="158" t="s">
        <v>172</v>
      </c>
      <c r="H134" s="259" t="s">
        <v>101</v>
      </c>
      <c r="I134" s="160">
        <v>0</v>
      </c>
      <c r="K134" s="268" t="str">
        <f t="shared" si="4"/>
        <v>3.3.10</v>
      </c>
      <c r="L134" s="144"/>
      <c r="M134" s="3"/>
      <c r="N134" s="119"/>
      <c r="O134" s="74"/>
      <c r="P134" s="3"/>
    </row>
    <row r="135" spans="2:16" s="61" customFormat="1" ht="14.5" customHeight="1" thickBot="1" x14ac:dyDescent="0.4">
      <c r="B135" s="162"/>
      <c r="C135" s="256">
        <v>3.4</v>
      </c>
      <c r="D135" s="156" t="s">
        <v>173</v>
      </c>
      <c r="E135" s="158"/>
      <c r="H135" s="254" t="s">
        <v>22</v>
      </c>
      <c r="I135" s="255">
        <f>SUM(I136:I145)/10</f>
        <v>2.5</v>
      </c>
      <c r="K135" s="2"/>
      <c r="L135" s="2"/>
      <c r="M135" s="3"/>
      <c r="N135" s="119"/>
      <c r="O135" s="74"/>
      <c r="P135" s="3"/>
    </row>
    <row r="136" spans="2:16" s="61" customFormat="1" ht="14.5" customHeight="1" x14ac:dyDescent="0.35">
      <c r="B136" s="162"/>
      <c r="D136" s="53" t="s">
        <v>174</v>
      </c>
      <c r="E136" s="158" t="s">
        <v>175</v>
      </c>
      <c r="H136" s="259" t="s">
        <v>101</v>
      </c>
      <c r="I136" s="160">
        <v>5</v>
      </c>
      <c r="J136" s="269"/>
      <c r="K136" s="268" t="str">
        <f t="shared" ref="K136:K145" si="5">D136</f>
        <v>3.4.1</v>
      </c>
      <c r="L136" s="144"/>
      <c r="M136" s="3"/>
      <c r="N136" s="119"/>
      <c r="O136" s="74"/>
      <c r="P136" s="3"/>
    </row>
    <row r="137" spans="2:16" s="61" customFormat="1" ht="14.5" customHeight="1" x14ac:dyDescent="0.35">
      <c r="B137" s="162"/>
      <c r="D137" s="53" t="s">
        <v>176</v>
      </c>
      <c r="E137" s="158" t="s">
        <v>177</v>
      </c>
      <c r="H137" s="259" t="s">
        <v>101</v>
      </c>
      <c r="I137" s="160">
        <v>0</v>
      </c>
      <c r="J137" s="269"/>
      <c r="K137" s="268" t="str">
        <f t="shared" si="5"/>
        <v>3.4.2</v>
      </c>
      <c r="L137" s="144"/>
      <c r="M137" s="3"/>
      <c r="N137" s="119"/>
      <c r="O137" s="74"/>
      <c r="P137" s="3"/>
    </row>
    <row r="138" spans="2:16" s="61" customFormat="1" ht="14.5" customHeight="1" x14ac:dyDescent="0.35">
      <c r="B138" s="162"/>
      <c r="D138" s="53" t="s">
        <v>178</v>
      </c>
      <c r="E138" s="158" t="s">
        <v>179</v>
      </c>
      <c r="H138" s="259" t="s">
        <v>101</v>
      </c>
      <c r="I138" s="160">
        <v>5</v>
      </c>
      <c r="K138" s="268" t="str">
        <f t="shared" si="5"/>
        <v>3.4.3</v>
      </c>
      <c r="L138" s="144"/>
      <c r="M138" s="3"/>
      <c r="N138" s="119"/>
      <c r="O138" s="74"/>
      <c r="P138" s="3"/>
    </row>
    <row r="139" spans="2:16" s="61" customFormat="1" ht="14.5" customHeight="1" x14ac:dyDescent="0.35">
      <c r="B139" s="162"/>
      <c r="D139" s="53" t="s">
        <v>180</v>
      </c>
      <c r="E139" s="158" t="s">
        <v>181</v>
      </c>
      <c r="H139" s="259" t="s">
        <v>101</v>
      </c>
      <c r="I139" s="160">
        <v>5</v>
      </c>
      <c r="J139" s="14"/>
      <c r="K139" s="268" t="str">
        <f t="shared" si="5"/>
        <v>3.4.4</v>
      </c>
      <c r="L139" s="144"/>
      <c r="M139" s="3"/>
      <c r="N139" s="119"/>
      <c r="O139" s="74"/>
      <c r="P139" s="3"/>
    </row>
    <row r="140" spans="2:16" s="61" customFormat="1" ht="14.5" customHeight="1" x14ac:dyDescent="0.35">
      <c r="B140" s="162"/>
      <c r="D140" s="53" t="s">
        <v>182</v>
      </c>
      <c r="E140" s="158" t="s">
        <v>183</v>
      </c>
      <c r="H140" s="259" t="s">
        <v>101</v>
      </c>
      <c r="I140" s="160">
        <v>0</v>
      </c>
      <c r="J140" s="269"/>
      <c r="K140" s="268" t="str">
        <f t="shared" si="5"/>
        <v>3.4.5</v>
      </c>
      <c r="L140" s="144"/>
      <c r="M140" s="3"/>
      <c r="N140" s="119"/>
      <c r="O140" s="74"/>
      <c r="P140" s="3"/>
    </row>
    <row r="141" spans="2:16" s="61" customFormat="1" ht="14.5" customHeight="1" x14ac:dyDescent="0.35">
      <c r="B141" s="162"/>
      <c r="D141" s="53" t="s">
        <v>184</v>
      </c>
      <c r="E141" s="158" t="s">
        <v>185</v>
      </c>
      <c r="H141" s="259" t="s">
        <v>101</v>
      </c>
      <c r="I141" s="160">
        <v>0</v>
      </c>
      <c r="J141" s="269"/>
      <c r="K141" s="268" t="str">
        <f t="shared" si="5"/>
        <v>3.4.6</v>
      </c>
      <c r="L141" s="144"/>
      <c r="M141" s="3"/>
      <c r="N141" s="119"/>
      <c r="O141" s="74"/>
      <c r="P141" s="3"/>
    </row>
    <row r="142" spans="2:16" s="61" customFormat="1" ht="14.5" customHeight="1" x14ac:dyDescent="0.35">
      <c r="B142" s="162"/>
      <c r="D142" s="53" t="s">
        <v>186</v>
      </c>
      <c r="E142" s="158" t="s">
        <v>187</v>
      </c>
      <c r="H142" s="259" t="s">
        <v>101</v>
      </c>
      <c r="I142" s="160">
        <v>5</v>
      </c>
      <c r="J142" s="269"/>
      <c r="K142" s="268" t="str">
        <f t="shared" si="5"/>
        <v>3.4.7</v>
      </c>
      <c r="L142" s="144"/>
      <c r="M142" s="3"/>
      <c r="N142" s="119"/>
      <c r="O142" s="74"/>
      <c r="P142" s="3"/>
    </row>
    <row r="143" spans="2:16" s="61" customFormat="1" ht="14.5" customHeight="1" x14ac:dyDescent="0.35">
      <c r="B143" s="162"/>
      <c r="D143" s="53" t="s">
        <v>188</v>
      </c>
      <c r="E143" s="158" t="s">
        <v>189</v>
      </c>
      <c r="H143" s="259" t="s">
        <v>101</v>
      </c>
      <c r="I143" s="160">
        <v>5</v>
      </c>
      <c r="J143" s="269"/>
      <c r="K143" s="268" t="str">
        <f t="shared" si="5"/>
        <v>3.4.8</v>
      </c>
      <c r="L143" s="144"/>
      <c r="M143" s="3"/>
      <c r="N143" s="119"/>
      <c r="O143" s="74"/>
      <c r="P143" s="3"/>
    </row>
    <row r="144" spans="2:16" s="61" customFormat="1" ht="14.5" customHeight="1" x14ac:dyDescent="0.35">
      <c r="B144" s="162"/>
      <c r="D144" s="53" t="s">
        <v>190</v>
      </c>
      <c r="E144" s="158" t="s">
        <v>191</v>
      </c>
      <c r="H144" s="259" t="s">
        <v>101</v>
      </c>
      <c r="I144" s="160">
        <v>0</v>
      </c>
      <c r="K144" s="268" t="str">
        <f t="shared" si="5"/>
        <v>3.4.9</v>
      </c>
      <c r="L144" s="144"/>
      <c r="M144" s="3"/>
      <c r="N144" s="119"/>
      <c r="O144" s="74"/>
      <c r="P144" s="3"/>
    </row>
    <row r="145" spans="2:16" s="61" customFormat="1" ht="14.5" customHeight="1" thickBot="1" x14ac:dyDescent="0.4">
      <c r="B145" s="162"/>
      <c r="D145" s="53" t="s">
        <v>192</v>
      </c>
      <c r="E145" s="158" t="s">
        <v>193</v>
      </c>
      <c r="H145" s="259" t="s">
        <v>101</v>
      </c>
      <c r="I145" s="160">
        <v>0</v>
      </c>
      <c r="J145" s="269"/>
      <c r="K145" s="268" t="str">
        <f t="shared" si="5"/>
        <v>3.4.10</v>
      </c>
      <c r="L145" s="144"/>
      <c r="M145" s="3"/>
      <c r="N145" s="119"/>
      <c r="O145" s="74"/>
      <c r="P145" s="3"/>
    </row>
    <row r="146" spans="2:16" s="61" customFormat="1" ht="14.5" customHeight="1" thickBot="1" x14ac:dyDescent="0.4">
      <c r="B146" s="162"/>
      <c r="C146" s="256">
        <v>3.5</v>
      </c>
      <c r="D146" s="156" t="s">
        <v>194</v>
      </c>
      <c r="E146" s="158"/>
      <c r="H146" s="254" t="s">
        <v>22</v>
      </c>
      <c r="I146" s="255">
        <f>SUM(I147:I156)/10</f>
        <v>2.5</v>
      </c>
      <c r="J146" s="269"/>
      <c r="K146" s="2"/>
      <c r="L146" s="2"/>
      <c r="M146" s="3"/>
      <c r="N146" s="119"/>
      <c r="O146" s="74"/>
      <c r="P146" s="3"/>
    </row>
    <row r="147" spans="2:16" s="61" customFormat="1" ht="14.5" customHeight="1" x14ac:dyDescent="0.35">
      <c r="B147" s="162"/>
      <c r="D147" s="53" t="s">
        <v>195</v>
      </c>
      <c r="E147" s="158" t="s">
        <v>196</v>
      </c>
      <c r="H147" s="259" t="s">
        <v>101</v>
      </c>
      <c r="I147" s="160">
        <v>0</v>
      </c>
      <c r="J147" s="269"/>
      <c r="K147" s="268" t="str">
        <f t="shared" ref="K147:K156" si="6">D147</f>
        <v>3.5.1</v>
      </c>
      <c r="L147" s="144"/>
      <c r="M147" s="3"/>
      <c r="N147" s="119"/>
      <c r="O147" s="74"/>
      <c r="P147" s="3"/>
    </row>
    <row r="148" spans="2:16" s="61" customFormat="1" ht="14.5" customHeight="1" x14ac:dyDescent="0.35">
      <c r="B148" s="162"/>
      <c r="D148" s="53" t="s">
        <v>197</v>
      </c>
      <c r="E148" s="158" t="s">
        <v>198</v>
      </c>
      <c r="H148" s="259" t="s">
        <v>101</v>
      </c>
      <c r="I148" s="160">
        <v>0</v>
      </c>
      <c r="J148" s="269"/>
      <c r="K148" s="268" t="str">
        <f t="shared" si="6"/>
        <v>3.5.2</v>
      </c>
      <c r="L148" s="144"/>
      <c r="M148" s="3"/>
      <c r="N148" s="119"/>
      <c r="O148" s="74"/>
      <c r="P148" s="3"/>
    </row>
    <row r="149" spans="2:16" s="61" customFormat="1" ht="14.5" customHeight="1" x14ac:dyDescent="0.35">
      <c r="B149" s="162"/>
      <c r="D149" s="53" t="s">
        <v>199</v>
      </c>
      <c r="E149" s="158" t="s">
        <v>200</v>
      </c>
      <c r="H149" s="259" t="s">
        <v>101</v>
      </c>
      <c r="I149" s="160">
        <v>5</v>
      </c>
      <c r="J149" s="269"/>
      <c r="K149" s="268" t="str">
        <f t="shared" si="6"/>
        <v>3.5.3</v>
      </c>
      <c r="L149" s="144"/>
      <c r="M149" s="3"/>
      <c r="N149" s="119"/>
      <c r="O149" s="74"/>
      <c r="P149" s="3"/>
    </row>
    <row r="150" spans="2:16" s="61" customFormat="1" ht="14.5" customHeight="1" x14ac:dyDescent="0.35">
      <c r="B150" s="162"/>
      <c r="D150" s="53" t="s">
        <v>201</v>
      </c>
      <c r="E150" s="158" t="s">
        <v>202</v>
      </c>
      <c r="G150" s="161"/>
      <c r="H150" s="259" t="s">
        <v>101</v>
      </c>
      <c r="I150" s="160">
        <v>5</v>
      </c>
      <c r="K150" s="268" t="str">
        <f t="shared" si="6"/>
        <v>3.5.4</v>
      </c>
      <c r="L150" s="144"/>
      <c r="M150" s="3"/>
      <c r="N150" s="119"/>
      <c r="O150" s="74"/>
      <c r="P150" s="3"/>
    </row>
    <row r="151" spans="2:16" s="61" customFormat="1" ht="14.5" customHeight="1" x14ac:dyDescent="0.35">
      <c r="B151" s="162"/>
      <c r="D151" s="53" t="s">
        <v>203</v>
      </c>
      <c r="E151" s="158" t="s">
        <v>204</v>
      </c>
      <c r="G151" s="161"/>
      <c r="H151" s="259" t="s">
        <v>101</v>
      </c>
      <c r="I151" s="160">
        <v>5</v>
      </c>
      <c r="J151" s="14"/>
      <c r="K151" s="268" t="str">
        <f t="shared" si="6"/>
        <v>3.5.5</v>
      </c>
      <c r="L151" s="144"/>
      <c r="M151" s="3"/>
      <c r="N151" s="119"/>
      <c r="O151" s="74"/>
      <c r="P151" s="3"/>
    </row>
    <row r="152" spans="2:16" s="61" customFormat="1" ht="14.5" customHeight="1" x14ac:dyDescent="0.35">
      <c r="B152" s="162"/>
      <c r="D152" s="53" t="s">
        <v>205</v>
      </c>
      <c r="E152" s="158" t="s">
        <v>206</v>
      </c>
      <c r="G152" s="161"/>
      <c r="H152" s="259" t="s">
        <v>101</v>
      </c>
      <c r="I152" s="160">
        <v>0</v>
      </c>
      <c r="J152" s="269"/>
      <c r="K152" s="268" t="str">
        <f t="shared" si="6"/>
        <v>3.5.6</v>
      </c>
      <c r="L152" s="144"/>
      <c r="M152" s="3"/>
      <c r="N152" s="119"/>
      <c r="O152" s="74"/>
      <c r="P152" s="3"/>
    </row>
    <row r="153" spans="2:16" s="61" customFormat="1" ht="14.5" customHeight="1" x14ac:dyDescent="0.35">
      <c r="B153" s="162"/>
      <c r="D153" s="53" t="s">
        <v>207</v>
      </c>
      <c r="E153" s="158" t="s">
        <v>208</v>
      </c>
      <c r="G153" s="161"/>
      <c r="H153" s="259" t="s">
        <v>101</v>
      </c>
      <c r="I153" s="160">
        <v>5</v>
      </c>
      <c r="J153" s="269"/>
      <c r="K153" s="268" t="str">
        <f t="shared" si="6"/>
        <v>3.5.7</v>
      </c>
      <c r="L153" s="144"/>
      <c r="M153" s="3"/>
      <c r="N153" s="119"/>
      <c r="O153" s="74"/>
      <c r="P153" s="3"/>
    </row>
    <row r="154" spans="2:16" s="61" customFormat="1" ht="14.5" customHeight="1" x14ac:dyDescent="0.35">
      <c r="B154" s="162"/>
      <c r="D154" s="53" t="s">
        <v>209</v>
      </c>
      <c r="E154" s="158" t="s">
        <v>210</v>
      </c>
      <c r="G154" s="161"/>
      <c r="H154" s="259" t="s">
        <v>101</v>
      </c>
      <c r="I154" s="160">
        <v>5</v>
      </c>
      <c r="J154" s="269"/>
      <c r="K154" s="268" t="str">
        <f t="shared" si="6"/>
        <v>3.5.8</v>
      </c>
      <c r="L154" s="144"/>
      <c r="M154" s="3"/>
      <c r="N154" s="119"/>
      <c r="O154" s="74"/>
      <c r="P154" s="3"/>
    </row>
    <row r="155" spans="2:16" s="61" customFormat="1" ht="14.5" customHeight="1" x14ac:dyDescent="0.35">
      <c r="B155" s="162"/>
      <c r="D155" s="53" t="s">
        <v>211</v>
      </c>
      <c r="E155" s="158" t="s">
        <v>212</v>
      </c>
      <c r="G155" s="161"/>
      <c r="H155" s="259" t="s">
        <v>101</v>
      </c>
      <c r="I155" s="160">
        <v>0</v>
      </c>
      <c r="K155" s="268" t="str">
        <f t="shared" si="6"/>
        <v>3.5.9</v>
      </c>
      <c r="L155" s="144"/>
      <c r="M155" s="3"/>
      <c r="N155" s="119"/>
      <c r="O155" s="74"/>
      <c r="P155" s="3"/>
    </row>
    <row r="156" spans="2:16" s="61" customFormat="1" ht="14.5" customHeight="1" thickBot="1" x14ac:dyDescent="0.4">
      <c r="B156" s="162"/>
      <c r="D156" s="53" t="s">
        <v>213</v>
      </c>
      <c r="E156" s="158" t="s">
        <v>214</v>
      </c>
      <c r="G156" s="161"/>
      <c r="H156" s="259" t="s">
        <v>101</v>
      </c>
      <c r="I156" s="160">
        <v>0</v>
      </c>
      <c r="J156" s="269"/>
      <c r="K156" s="268" t="str">
        <f t="shared" si="6"/>
        <v>3.5.10</v>
      </c>
      <c r="L156" s="144"/>
      <c r="M156" s="3"/>
      <c r="N156" s="119"/>
      <c r="O156" s="74"/>
      <c r="P156" s="3"/>
    </row>
    <row r="157" spans="2:16" s="61" customFormat="1" ht="14.5" customHeight="1" thickBot="1" x14ac:dyDescent="0.4">
      <c r="B157" s="162"/>
      <c r="C157" s="256">
        <v>3.6</v>
      </c>
      <c r="D157" s="156" t="s">
        <v>215</v>
      </c>
      <c r="E157" s="158"/>
      <c r="G157" s="161"/>
      <c r="H157" s="254" t="s">
        <v>22</v>
      </c>
      <c r="I157" s="255">
        <f>SUM(I158:I167)/10</f>
        <v>2.5</v>
      </c>
      <c r="J157" s="269"/>
      <c r="K157" s="2"/>
      <c r="L157" s="2"/>
      <c r="M157" s="3"/>
      <c r="N157" s="119"/>
      <c r="O157" s="74"/>
      <c r="P157" s="3"/>
    </row>
    <row r="158" spans="2:16" s="61" customFormat="1" ht="14.5" customHeight="1" x14ac:dyDescent="0.35">
      <c r="B158" s="162"/>
      <c r="D158" s="53" t="s">
        <v>216</v>
      </c>
      <c r="E158" s="158" t="s">
        <v>217</v>
      </c>
      <c r="G158" s="161"/>
      <c r="H158" s="259" t="s">
        <v>101</v>
      </c>
      <c r="I158" s="160">
        <v>5</v>
      </c>
      <c r="J158" s="269"/>
      <c r="K158" s="268" t="str">
        <f t="shared" ref="K158:K167" si="7">D158</f>
        <v>3.6.1</v>
      </c>
      <c r="L158" s="144"/>
      <c r="M158" s="3"/>
      <c r="N158" s="119"/>
      <c r="O158" s="74"/>
      <c r="P158" s="3"/>
    </row>
    <row r="159" spans="2:16" s="61" customFormat="1" ht="14.5" customHeight="1" x14ac:dyDescent="0.35">
      <c r="B159" s="162"/>
      <c r="D159" s="53" t="s">
        <v>218</v>
      </c>
      <c r="E159" s="158" t="s">
        <v>219</v>
      </c>
      <c r="G159" s="161"/>
      <c r="H159" s="259" t="s">
        <v>101</v>
      </c>
      <c r="I159" s="160">
        <v>0</v>
      </c>
      <c r="J159" s="269"/>
      <c r="K159" s="268" t="str">
        <f t="shared" si="7"/>
        <v>3.6.2</v>
      </c>
      <c r="L159" s="144"/>
      <c r="M159" s="3"/>
      <c r="N159" s="119"/>
      <c r="O159" s="74"/>
      <c r="P159" s="3"/>
    </row>
    <row r="160" spans="2:16" s="61" customFormat="1" ht="14.5" customHeight="1" x14ac:dyDescent="0.35">
      <c r="B160" s="162"/>
      <c r="D160" s="53" t="s">
        <v>220</v>
      </c>
      <c r="E160" s="158" t="s">
        <v>221</v>
      </c>
      <c r="G160" s="161"/>
      <c r="H160" s="259" t="s">
        <v>101</v>
      </c>
      <c r="I160" s="160">
        <v>0</v>
      </c>
      <c r="K160" s="268" t="str">
        <f t="shared" si="7"/>
        <v>3.6.3</v>
      </c>
      <c r="L160" s="144"/>
      <c r="M160" s="3"/>
      <c r="N160" s="119"/>
      <c r="O160" s="74"/>
      <c r="P160" s="3"/>
    </row>
    <row r="161" spans="1:21" s="61" customFormat="1" ht="14.5" customHeight="1" x14ac:dyDescent="0.35">
      <c r="B161" s="162"/>
      <c r="D161" s="53" t="s">
        <v>222</v>
      </c>
      <c r="E161" s="158" t="s">
        <v>223</v>
      </c>
      <c r="G161" s="161"/>
      <c r="H161" s="259" t="s">
        <v>101</v>
      </c>
      <c r="I161" s="160">
        <v>0</v>
      </c>
      <c r="J161" s="14"/>
      <c r="K161" s="268" t="str">
        <f t="shared" si="7"/>
        <v>3.6.4</v>
      </c>
      <c r="L161" s="144"/>
      <c r="M161" s="3"/>
      <c r="N161" s="119"/>
      <c r="O161" s="74"/>
      <c r="P161" s="3"/>
    </row>
    <row r="162" spans="1:21" s="61" customFormat="1" ht="14.5" customHeight="1" x14ac:dyDescent="0.35">
      <c r="B162" s="162"/>
      <c r="D162" s="53" t="s">
        <v>224</v>
      </c>
      <c r="E162" s="158" t="s">
        <v>225</v>
      </c>
      <c r="G162" s="161"/>
      <c r="H162" s="259" t="s">
        <v>101</v>
      </c>
      <c r="I162" s="160">
        <v>5</v>
      </c>
      <c r="J162" s="269"/>
      <c r="K162" s="268" t="str">
        <f t="shared" si="7"/>
        <v>3.6.5</v>
      </c>
      <c r="L162" s="144"/>
      <c r="M162" s="3"/>
      <c r="N162" s="119"/>
      <c r="O162" s="74"/>
      <c r="P162" s="3"/>
    </row>
    <row r="163" spans="1:21" s="61" customFormat="1" ht="14.5" customHeight="1" x14ac:dyDescent="0.35">
      <c r="B163" s="162"/>
      <c r="D163" s="53" t="s">
        <v>226</v>
      </c>
      <c r="E163" s="158" t="s">
        <v>227</v>
      </c>
      <c r="G163" s="161"/>
      <c r="H163" s="259" t="s">
        <v>101</v>
      </c>
      <c r="I163" s="160">
        <v>5</v>
      </c>
      <c r="J163" s="269"/>
      <c r="K163" s="268" t="str">
        <f t="shared" si="7"/>
        <v>3.6.6</v>
      </c>
      <c r="L163" s="144"/>
      <c r="M163" s="3"/>
      <c r="N163" s="119"/>
      <c r="O163" s="74"/>
      <c r="P163" s="3"/>
    </row>
    <row r="164" spans="1:21" s="61" customFormat="1" ht="14.5" customHeight="1" x14ac:dyDescent="0.35">
      <c r="B164" s="162"/>
      <c r="D164" s="53" t="s">
        <v>228</v>
      </c>
      <c r="E164" s="158" t="s">
        <v>229</v>
      </c>
      <c r="G164" s="161"/>
      <c r="H164" s="259" t="s">
        <v>101</v>
      </c>
      <c r="I164" s="160">
        <v>5</v>
      </c>
      <c r="J164" s="269"/>
      <c r="K164" s="268" t="str">
        <f t="shared" si="7"/>
        <v>3.6.7</v>
      </c>
      <c r="L164" s="144"/>
      <c r="M164" s="3"/>
      <c r="N164" s="119"/>
      <c r="O164" s="74"/>
      <c r="P164" s="3"/>
    </row>
    <row r="165" spans="1:21" s="61" customFormat="1" ht="14.5" customHeight="1" x14ac:dyDescent="0.35">
      <c r="B165" s="162"/>
      <c r="D165" s="53" t="s">
        <v>230</v>
      </c>
      <c r="E165" s="158" t="s">
        <v>231</v>
      </c>
      <c r="G165" s="161"/>
      <c r="H165" s="259" t="s">
        <v>101</v>
      </c>
      <c r="I165" s="160">
        <v>0</v>
      </c>
      <c r="K165" s="268" t="str">
        <f t="shared" si="7"/>
        <v>3.6.8</v>
      </c>
      <c r="L165" s="144"/>
      <c r="M165" s="3"/>
      <c r="N165" s="119"/>
      <c r="O165" s="74"/>
      <c r="P165" s="3"/>
    </row>
    <row r="166" spans="1:21" s="61" customFormat="1" ht="14.5" customHeight="1" x14ac:dyDescent="0.35">
      <c r="B166" s="162"/>
      <c r="D166" s="53" t="s">
        <v>232</v>
      </c>
      <c r="E166" s="158" t="s">
        <v>233</v>
      </c>
      <c r="G166" s="161"/>
      <c r="H166" s="259" t="s">
        <v>101</v>
      </c>
      <c r="I166" s="160">
        <v>5</v>
      </c>
      <c r="J166" s="269"/>
      <c r="K166" s="268" t="str">
        <f t="shared" si="7"/>
        <v>3.6.9</v>
      </c>
      <c r="L166" s="144"/>
      <c r="M166" s="3"/>
      <c r="N166" s="119"/>
      <c r="O166" s="74"/>
      <c r="P166" s="3"/>
    </row>
    <row r="167" spans="1:21" s="61" customFormat="1" ht="14.5" customHeight="1" x14ac:dyDescent="0.35">
      <c r="B167" s="162"/>
      <c r="D167" s="53" t="s">
        <v>234</v>
      </c>
      <c r="E167" s="158" t="s">
        <v>235</v>
      </c>
      <c r="G167" s="161"/>
      <c r="H167" s="259" t="s">
        <v>101</v>
      </c>
      <c r="I167" s="160">
        <v>0</v>
      </c>
      <c r="K167" s="268" t="str">
        <f t="shared" si="7"/>
        <v>3.6.10</v>
      </c>
      <c r="L167" s="144"/>
      <c r="M167" s="3"/>
      <c r="N167" s="119"/>
      <c r="O167" s="74"/>
      <c r="P167" s="3"/>
    </row>
    <row r="168" spans="1:21" s="61" customFormat="1" ht="14.5" customHeight="1" thickBot="1" x14ac:dyDescent="0.4">
      <c r="A168" s="162"/>
      <c r="D168" s="161"/>
      <c r="E168" s="161"/>
      <c r="F168" s="161"/>
      <c r="G168" s="161"/>
      <c r="K168" s="5"/>
      <c r="L168" s="12"/>
      <c r="M168" s="3"/>
      <c r="N168" s="119"/>
      <c r="O168" s="74"/>
      <c r="P168" s="3"/>
    </row>
    <row r="169" spans="1:21" s="61" customFormat="1" ht="23.5" customHeight="1" thickBot="1" x14ac:dyDescent="0.4">
      <c r="B169" s="112">
        <v>4</v>
      </c>
      <c r="C169" s="113" t="s">
        <v>98</v>
      </c>
      <c r="D169" s="161"/>
      <c r="H169" s="13" t="s">
        <v>17</v>
      </c>
      <c r="I169" s="270">
        <f ca="1">(I170+I171+IF(I172=1948,5,IF(I172&lt;1948,5,IF(I172&gt;YEAR(TODAY()),0,5-((I172-1948)/(YEAR(TODAY())-1948))*5))))/3</f>
        <v>2.4145299145299144</v>
      </c>
      <c r="J169" s="163"/>
      <c r="K169" s="5"/>
      <c r="L169" s="46"/>
      <c r="M169" s="3"/>
      <c r="N169" s="119"/>
      <c r="O169" s="74"/>
      <c r="P169" s="3"/>
    </row>
    <row r="170" spans="1:21" s="61" customFormat="1" ht="18" customHeight="1" x14ac:dyDescent="0.35">
      <c r="B170" s="20">
        <v>2</v>
      </c>
      <c r="C170" s="260" t="s">
        <v>236</v>
      </c>
      <c r="D170" s="161"/>
      <c r="H170" s="271" t="s">
        <v>12</v>
      </c>
      <c r="I170" s="272">
        <f>I90</f>
        <v>3.0769230769230771</v>
      </c>
      <c r="J170" s="164"/>
      <c r="K170" s="165"/>
      <c r="L170" s="144"/>
      <c r="M170" s="3"/>
      <c r="N170" s="118"/>
      <c r="O170" s="74"/>
      <c r="P170" s="3"/>
    </row>
    <row r="171" spans="1:21" s="61" customFormat="1" ht="14.5" customHeight="1" x14ac:dyDescent="0.35">
      <c r="B171" s="20">
        <v>3</v>
      </c>
      <c r="C171" s="260" t="s">
        <v>237</v>
      </c>
      <c r="D171" s="161"/>
      <c r="H171" s="271" t="s">
        <v>12</v>
      </c>
      <c r="I171" s="273">
        <f>I157</f>
        <v>2.5</v>
      </c>
      <c r="J171" s="166"/>
      <c r="K171" s="211">
        <f>B171</f>
        <v>3</v>
      </c>
      <c r="L171" s="144"/>
      <c r="M171" s="3"/>
      <c r="N171" s="119"/>
      <c r="O171" s="74"/>
      <c r="P171" s="3"/>
    </row>
    <row r="172" spans="1:21" s="61" customFormat="1" ht="14.5" customHeight="1" x14ac:dyDescent="0.35">
      <c r="B172" s="20">
        <v>4</v>
      </c>
      <c r="C172" s="260" t="s">
        <v>238</v>
      </c>
      <c r="D172" s="161"/>
      <c r="H172" s="259" t="s">
        <v>29</v>
      </c>
      <c r="I172" s="167">
        <v>2000</v>
      </c>
      <c r="J172" s="3"/>
      <c r="K172" s="211">
        <f>B172</f>
        <v>4</v>
      </c>
      <c r="L172" s="144"/>
      <c r="M172" s="3"/>
      <c r="N172" s="119"/>
      <c r="O172" s="74"/>
      <c r="P172" s="3"/>
    </row>
    <row r="173" spans="1:21" s="61" customFormat="1" ht="14.5" customHeight="1" thickBot="1" x14ac:dyDescent="0.35">
      <c r="A173" s="26"/>
      <c r="K173" s="9"/>
      <c r="L173" s="9"/>
      <c r="M173" s="274"/>
      <c r="N173" s="119"/>
      <c r="O173" s="74"/>
      <c r="P173" s="3"/>
    </row>
    <row r="174" spans="1:21" ht="23.5" customHeight="1" thickBot="1" x14ac:dyDescent="0.35">
      <c r="A174" s="112"/>
      <c r="B174" s="112">
        <v>5</v>
      </c>
      <c r="C174" s="275" t="s">
        <v>239</v>
      </c>
      <c r="D174" s="275"/>
      <c r="E174" s="16"/>
      <c r="F174" s="16"/>
      <c r="G174" s="16"/>
      <c r="H174" s="13" t="s">
        <v>17</v>
      </c>
      <c r="I174" s="276">
        <f>(IF(I175=Normalize!G61,5,IF(I175&lt;Normalize!G61,5,IF(I175&gt;Normalize!I61,0,5-((I175-Normalize!G61)/(Normalize!I61-Normalize!G61))*5)))+IF(I177=Normalize!G63,5,IF(I177&lt;Normalize!G63,5,IF(I177&gt;Normalize!I63,0,5-((I177-Normalize!G63)/(Normalize!I63-Normalize!G63))*5)))+IF(I178=Normalize!G64,5,IF(I178&lt;Normalize!G64,5,IF(I178&gt;Normalize!I64,0,5-((I178-Normalize!G64)/(Normalize!I64-Normalize!G64))*5)))+I179)/4</f>
        <v>2.1875</v>
      </c>
      <c r="J174" s="61"/>
      <c r="K174" s="50"/>
      <c r="L174" s="9"/>
      <c r="N174" s="118"/>
      <c r="O174" s="74"/>
      <c r="P174" s="3"/>
      <c r="Q174" s="61"/>
      <c r="R174" s="61"/>
      <c r="S174" s="61"/>
      <c r="T174" s="61"/>
      <c r="U174" s="61"/>
    </row>
    <row r="175" spans="1:21" ht="14.5" customHeight="1" x14ac:dyDescent="0.3">
      <c r="A175" s="27"/>
      <c r="B175" s="20">
        <v>1</v>
      </c>
      <c r="C175" s="260" t="s">
        <v>240</v>
      </c>
      <c r="D175" s="277"/>
      <c r="E175" s="16"/>
      <c r="F175" s="16"/>
      <c r="G175" s="16"/>
      <c r="H175" s="259" t="s">
        <v>29</v>
      </c>
      <c r="I175" s="278">
        <v>4</v>
      </c>
      <c r="J175" s="61"/>
      <c r="K175" s="212">
        <f>B175</f>
        <v>1</v>
      </c>
      <c r="L175" s="35"/>
      <c r="N175" s="119"/>
      <c r="O175" s="74"/>
      <c r="P175" s="3"/>
      <c r="Q175" s="61"/>
      <c r="R175" s="61"/>
      <c r="S175" s="61"/>
      <c r="T175" s="61"/>
      <c r="U175" s="61"/>
    </row>
    <row r="176" spans="1:21" ht="14.5" customHeight="1" x14ac:dyDescent="0.3">
      <c r="A176" s="27"/>
      <c r="B176" s="20">
        <v>2</v>
      </c>
      <c r="C176" s="279" t="s">
        <v>241</v>
      </c>
      <c r="D176" s="280"/>
      <c r="E176" s="16"/>
      <c r="F176" s="16"/>
      <c r="G176" s="16"/>
      <c r="H176" s="61"/>
      <c r="I176" s="28"/>
      <c r="J176" s="61"/>
      <c r="K176" s="9"/>
      <c r="L176" s="9"/>
      <c r="N176" s="119"/>
      <c r="O176" s="74"/>
      <c r="P176" s="3"/>
      <c r="Q176" s="61"/>
      <c r="R176" s="61"/>
      <c r="S176" s="61"/>
      <c r="T176" s="61"/>
      <c r="U176" s="61"/>
    </row>
    <row r="177" spans="1:15" ht="14.5" customHeight="1" x14ac:dyDescent="0.3">
      <c r="A177" s="27"/>
      <c r="B177" s="20"/>
      <c r="C177" s="260">
        <v>2.1</v>
      </c>
      <c r="D177" s="16" t="s">
        <v>242</v>
      </c>
      <c r="E177" s="10"/>
      <c r="F177" s="10"/>
      <c r="G177" s="237"/>
      <c r="H177" s="259" t="s">
        <v>29</v>
      </c>
      <c r="I177" s="69">
        <v>2</v>
      </c>
      <c r="J177" s="61"/>
      <c r="K177" s="281">
        <f>C177</f>
        <v>2.1</v>
      </c>
      <c r="L177" s="35"/>
      <c r="N177" s="119"/>
      <c r="O177" s="74"/>
    </row>
    <row r="178" spans="1:15" ht="14.5" customHeight="1" x14ac:dyDescent="0.3">
      <c r="A178" s="27"/>
      <c r="B178" s="20"/>
      <c r="C178" s="260">
        <v>2.2000000000000002</v>
      </c>
      <c r="D178" s="16" t="s">
        <v>243</v>
      </c>
      <c r="E178" s="10"/>
      <c r="F178" s="10"/>
      <c r="G178" s="237"/>
      <c r="H178" s="259" t="s">
        <v>29</v>
      </c>
      <c r="I178" s="69">
        <v>5</v>
      </c>
      <c r="J178" s="61"/>
      <c r="K178" s="281">
        <f>C178</f>
        <v>2.2000000000000002</v>
      </c>
      <c r="L178" s="35"/>
      <c r="N178" s="119"/>
      <c r="O178" s="74"/>
    </row>
    <row r="179" spans="1:15" ht="14.5" customHeight="1" x14ac:dyDescent="0.3">
      <c r="A179" s="27"/>
      <c r="B179" s="20">
        <v>3</v>
      </c>
      <c r="C179" s="260" t="s">
        <v>244</v>
      </c>
      <c r="D179" s="277"/>
      <c r="E179" s="16"/>
      <c r="F179" s="16"/>
      <c r="G179" s="12"/>
      <c r="H179" s="259" t="s">
        <v>101</v>
      </c>
      <c r="I179" s="6">
        <v>0</v>
      </c>
      <c r="J179" s="282"/>
      <c r="K179" s="202">
        <f>B179</f>
        <v>3</v>
      </c>
      <c r="L179" s="35"/>
      <c r="N179" s="119"/>
    </row>
    <row r="180" spans="1:15" ht="17" customHeight="1" thickBot="1" x14ac:dyDescent="0.35">
      <c r="A180" s="27"/>
      <c r="B180" s="16"/>
      <c r="C180" s="275"/>
      <c r="D180" s="275"/>
      <c r="E180" s="16"/>
      <c r="F180" s="16"/>
      <c r="G180" s="12"/>
      <c r="H180" s="12"/>
      <c r="I180" s="19"/>
      <c r="J180" s="61"/>
      <c r="K180" s="9"/>
      <c r="L180" s="9"/>
      <c r="N180" s="29"/>
    </row>
    <row r="181" spans="1:15" ht="23.5" customHeight="1" thickBot="1" x14ac:dyDescent="0.35">
      <c r="A181" s="27"/>
      <c r="B181" s="112">
        <v>6</v>
      </c>
      <c r="C181" s="275" t="s">
        <v>245</v>
      </c>
      <c r="D181" s="275"/>
      <c r="E181" s="16"/>
      <c r="F181" s="16"/>
      <c r="G181" s="12"/>
      <c r="H181" s="13" t="s">
        <v>17</v>
      </c>
      <c r="I181" s="276">
        <f>(I182+I183+I184+IF(I185=Normalize!G66,5,IF(I185&lt;Normalize!G66,5,IF(I185&gt;Normalize!I66,0,((I185-Normalize!G66)/(Normalize!I66-Normalize!G66))*5)))+I186)/5</f>
        <v>3.7111111111111112</v>
      </c>
      <c r="J181" s="61"/>
      <c r="K181" s="9"/>
      <c r="L181" s="9"/>
      <c r="N181" s="118"/>
    </row>
    <row r="182" spans="1:15" ht="14.5" customHeight="1" x14ac:dyDescent="0.3">
      <c r="A182" s="27"/>
      <c r="B182" s="20">
        <v>1</v>
      </c>
      <c r="C182" s="260" t="s">
        <v>246</v>
      </c>
      <c r="D182" s="260"/>
      <c r="E182" s="16"/>
      <c r="F182" s="16"/>
      <c r="G182" s="16"/>
      <c r="H182" s="54" t="s">
        <v>247</v>
      </c>
      <c r="I182" s="278">
        <v>4</v>
      </c>
      <c r="J182" s="61"/>
      <c r="K182" s="202">
        <f>B182</f>
        <v>1</v>
      </c>
      <c r="L182" s="35"/>
      <c r="N182" s="119"/>
    </row>
    <row r="183" spans="1:15" ht="14.5" customHeight="1" x14ac:dyDescent="0.3">
      <c r="A183" s="27"/>
      <c r="B183" s="20">
        <v>2</v>
      </c>
      <c r="C183" s="283" t="s">
        <v>248</v>
      </c>
      <c r="D183" s="61"/>
      <c r="E183" s="16"/>
      <c r="F183" s="16"/>
      <c r="G183" s="16"/>
      <c r="H183" s="54" t="s">
        <v>247</v>
      </c>
      <c r="I183" s="278">
        <v>4</v>
      </c>
      <c r="J183" s="61"/>
      <c r="K183" s="202">
        <f>B183</f>
        <v>2</v>
      </c>
      <c r="L183" s="35"/>
      <c r="N183" s="119"/>
    </row>
    <row r="184" spans="1:15" ht="14.5" customHeight="1" x14ac:dyDescent="0.3">
      <c r="A184" s="61"/>
      <c r="B184" s="20">
        <v>3</v>
      </c>
      <c r="C184" s="283" t="s">
        <v>249</v>
      </c>
      <c r="D184" s="61"/>
      <c r="E184" s="16"/>
      <c r="F184" s="16"/>
      <c r="G184" s="16"/>
      <c r="H184" s="259" t="s">
        <v>101</v>
      </c>
      <c r="I184" s="62">
        <v>5</v>
      </c>
      <c r="J184" s="61"/>
      <c r="K184" s="202">
        <v>3</v>
      </c>
      <c r="L184" s="35"/>
      <c r="N184" s="119"/>
    </row>
    <row r="185" spans="1:15" ht="14.5" customHeight="1" x14ac:dyDescent="0.3">
      <c r="A185" s="61"/>
      <c r="B185" s="20">
        <v>4</v>
      </c>
      <c r="C185" s="283" t="s">
        <v>250</v>
      </c>
      <c r="D185" s="283"/>
      <c r="E185" s="16"/>
      <c r="F185" s="16"/>
      <c r="G185" s="16"/>
      <c r="H185" s="259" t="s">
        <v>26</v>
      </c>
      <c r="I185" s="139">
        <v>15</v>
      </c>
      <c r="J185" s="61"/>
      <c r="K185" s="202">
        <f>B185</f>
        <v>4</v>
      </c>
      <c r="L185" s="35"/>
      <c r="N185" s="119"/>
    </row>
    <row r="186" spans="1:15" ht="14.5" customHeight="1" x14ac:dyDescent="0.3">
      <c r="A186" s="61"/>
      <c r="B186" s="20">
        <v>5</v>
      </c>
      <c r="C186" s="260" t="s">
        <v>251</v>
      </c>
      <c r="D186" s="16"/>
      <c r="E186" s="16"/>
      <c r="F186" s="16"/>
      <c r="G186" s="16"/>
      <c r="H186" s="259" t="s">
        <v>101</v>
      </c>
      <c r="I186" s="114">
        <v>5</v>
      </c>
      <c r="J186" s="61"/>
      <c r="K186" s="202">
        <f>B186</f>
        <v>5</v>
      </c>
      <c r="L186" s="35"/>
      <c r="N186" s="119"/>
    </row>
    <row r="187" spans="1:15" ht="17" customHeight="1" thickBot="1" x14ac:dyDescent="0.35">
      <c r="A187" s="27"/>
      <c r="D187" s="66"/>
      <c r="E187" s="20"/>
      <c r="F187" s="20"/>
      <c r="G187" s="17"/>
      <c r="J187" s="61"/>
      <c r="K187" s="9"/>
      <c r="N187" s="29"/>
    </row>
    <row r="188" spans="1:15" ht="23.5" customHeight="1" x14ac:dyDescent="0.3">
      <c r="A188" s="61"/>
      <c r="B188" s="112">
        <v>7</v>
      </c>
      <c r="C188" s="113" t="s">
        <v>252</v>
      </c>
      <c r="D188" s="16"/>
      <c r="E188" s="16"/>
      <c r="F188" s="16"/>
      <c r="G188" s="12"/>
      <c r="H188" s="13" t="s">
        <v>17</v>
      </c>
      <c r="I188" s="265">
        <f>(I189*4+I195*8)/12</f>
        <v>3.75</v>
      </c>
      <c r="J188" s="61"/>
      <c r="L188" s="9"/>
      <c r="N188" s="118"/>
    </row>
    <row r="189" spans="1:15" ht="23.5" customHeight="1" thickBot="1" x14ac:dyDescent="0.35">
      <c r="A189" s="61"/>
      <c r="B189" s="213">
        <v>1</v>
      </c>
      <c r="C189" s="214" t="s">
        <v>253</v>
      </c>
      <c r="D189" s="16"/>
      <c r="E189" s="16"/>
      <c r="F189" s="16"/>
      <c r="G189" s="12"/>
      <c r="H189" s="13" t="s">
        <v>254</v>
      </c>
      <c r="I189" s="284">
        <f>SUM(I190:I194)/4</f>
        <v>1.25</v>
      </c>
      <c r="J189" s="61"/>
      <c r="K189" s="9"/>
      <c r="L189" s="9"/>
      <c r="N189" s="118"/>
    </row>
    <row r="190" spans="1:15" ht="14.5" customHeight="1" x14ac:dyDescent="0.3">
      <c r="A190" s="61"/>
      <c r="C190" s="260">
        <v>1.1000000000000001</v>
      </c>
      <c r="D190" s="260" t="s">
        <v>255</v>
      </c>
      <c r="E190" s="16"/>
      <c r="F190" s="16"/>
      <c r="G190" s="16"/>
      <c r="H190" s="259" t="s">
        <v>101</v>
      </c>
      <c r="I190" s="6">
        <v>5</v>
      </c>
      <c r="J190" s="61"/>
      <c r="K190" s="281">
        <f>C190</f>
        <v>1.1000000000000001</v>
      </c>
      <c r="L190" s="35"/>
      <c r="N190" s="119"/>
    </row>
    <row r="191" spans="1:15" ht="14.5" customHeight="1" x14ac:dyDescent="0.3">
      <c r="A191" s="61"/>
      <c r="C191" s="260">
        <v>1.2</v>
      </c>
      <c r="D191" s="260" t="s">
        <v>256</v>
      </c>
      <c r="E191" s="16"/>
      <c r="F191" s="16"/>
      <c r="G191" s="16"/>
      <c r="H191" s="259" t="s">
        <v>101</v>
      </c>
      <c r="I191" s="6">
        <v>0</v>
      </c>
      <c r="J191" s="61"/>
      <c r="K191" s="281">
        <f>C191</f>
        <v>1.2</v>
      </c>
      <c r="L191" s="35"/>
      <c r="N191" s="119"/>
    </row>
    <row r="192" spans="1:15" x14ac:dyDescent="0.3">
      <c r="A192" s="61"/>
      <c r="C192" s="260">
        <v>1.3</v>
      </c>
      <c r="D192" s="260" t="s">
        <v>257</v>
      </c>
      <c r="E192" s="16"/>
      <c r="F192" s="16"/>
      <c r="G192" s="12"/>
      <c r="H192" s="259" t="s">
        <v>101</v>
      </c>
      <c r="I192" s="6">
        <v>0</v>
      </c>
      <c r="J192" s="61"/>
      <c r="K192" s="281">
        <f>C192</f>
        <v>1.3</v>
      </c>
      <c r="L192" s="35"/>
      <c r="N192" s="119"/>
    </row>
    <row r="193" spans="1:14" x14ac:dyDescent="0.3">
      <c r="A193" s="61"/>
      <c r="C193" s="260">
        <v>1.4</v>
      </c>
      <c r="D193" s="260" t="s">
        <v>258</v>
      </c>
      <c r="E193" s="16"/>
      <c r="F193" s="16"/>
      <c r="G193" s="12"/>
      <c r="H193" s="259" t="s">
        <v>101</v>
      </c>
      <c r="I193" s="6">
        <v>0</v>
      </c>
      <c r="J193" s="61"/>
      <c r="K193" s="281">
        <f>C193</f>
        <v>1.4</v>
      </c>
      <c r="L193" s="35"/>
      <c r="N193" s="119"/>
    </row>
    <row r="194" spans="1:14" ht="17" customHeight="1" thickBot="1" x14ac:dyDescent="0.35">
      <c r="A194" s="61"/>
      <c r="B194" s="14"/>
      <c r="D194" s="215"/>
      <c r="E194" s="16"/>
      <c r="F194" s="16"/>
      <c r="G194" s="12"/>
      <c r="J194" s="61"/>
      <c r="K194" s="9"/>
      <c r="L194" s="9"/>
      <c r="N194" s="119"/>
    </row>
    <row r="195" spans="1:14" ht="23.5" customHeight="1" thickBot="1" x14ac:dyDescent="0.35">
      <c r="A195" s="61"/>
      <c r="B195" s="213">
        <v>2</v>
      </c>
      <c r="C195" s="214" t="s">
        <v>259</v>
      </c>
      <c r="D195" s="16"/>
      <c r="E195" s="16"/>
      <c r="F195" s="16"/>
      <c r="G195" s="12"/>
      <c r="H195" s="13" t="s">
        <v>254</v>
      </c>
      <c r="I195" s="284">
        <f>SUM(I196:I205)/8</f>
        <v>5</v>
      </c>
      <c r="J195" s="61"/>
      <c r="K195" s="9"/>
      <c r="L195" s="9"/>
      <c r="N195" s="118"/>
    </row>
    <row r="196" spans="1:14" ht="14.5" customHeight="1" x14ac:dyDescent="0.3">
      <c r="A196" s="61"/>
      <c r="C196" s="260">
        <v>2.1</v>
      </c>
      <c r="D196" s="260" t="s">
        <v>260</v>
      </c>
      <c r="E196" s="16"/>
      <c r="F196" s="16"/>
      <c r="G196" s="16"/>
      <c r="H196" s="259" t="s">
        <v>101</v>
      </c>
      <c r="I196" s="6">
        <v>5</v>
      </c>
      <c r="J196" s="61"/>
      <c r="K196" s="281">
        <f>C196</f>
        <v>2.1</v>
      </c>
      <c r="L196" s="35"/>
      <c r="N196" s="119"/>
    </row>
    <row r="197" spans="1:14" ht="14.5" customHeight="1" x14ac:dyDescent="0.3">
      <c r="A197" s="61"/>
      <c r="C197" s="260">
        <v>2.2000000000000002</v>
      </c>
      <c r="D197" s="260" t="s">
        <v>261</v>
      </c>
      <c r="E197" s="20"/>
      <c r="F197" s="20"/>
      <c r="G197" s="20"/>
      <c r="H197" s="259" t="s">
        <v>101</v>
      </c>
      <c r="I197" s="6">
        <v>5</v>
      </c>
      <c r="J197" s="61"/>
      <c r="K197" s="281">
        <f>C197</f>
        <v>2.2000000000000002</v>
      </c>
      <c r="L197" s="35"/>
      <c r="N197" s="119"/>
    </row>
    <row r="198" spans="1:14" ht="14.5" customHeight="1" x14ac:dyDescent="0.3">
      <c r="A198" s="27"/>
      <c r="C198" s="260">
        <v>2.2999999999999998</v>
      </c>
      <c r="D198" s="260" t="s">
        <v>262</v>
      </c>
      <c r="E198" s="20"/>
      <c r="F198" s="20"/>
      <c r="G198" s="20"/>
      <c r="H198" s="259" t="s">
        <v>101</v>
      </c>
      <c r="I198" s="6">
        <v>5</v>
      </c>
      <c r="J198" s="61"/>
      <c r="K198" s="281">
        <f>C198</f>
        <v>2.2999999999999998</v>
      </c>
      <c r="L198" s="35"/>
      <c r="N198" s="119"/>
    </row>
    <row r="199" spans="1:14" ht="14.5" customHeight="1" x14ac:dyDescent="0.3">
      <c r="A199" s="27"/>
      <c r="C199" s="260">
        <v>2.4</v>
      </c>
      <c r="D199" s="260" t="s">
        <v>263</v>
      </c>
      <c r="E199" s="16"/>
      <c r="F199" s="16"/>
      <c r="G199" s="16"/>
      <c r="H199" s="259" t="s">
        <v>101</v>
      </c>
      <c r="I199" s="6">
        <v>5</v>
      </c>
      <c r="J199" s="61"/>
      <c r="K199" s="281">
        <f>C199</f>
        <v>2.4</v>
      </c>
      <c r="L199" s="35"/>
      <c r="N199" s="119"/>
    </row>
    <row r="200" spans="1:14" ht="14.5" customHeight="1" x14ac:dyDescent="0.3">
      <c r="A200" s="61"/>
      <c r="C200" s="260">
        <v>2.5</v>
      </c>
      <c r="D200" s="279" t="s">
        <v>264</v>
      </c>
      <c r="E200" s="10"/>
      <c r="F200" s="10"/>
      <c r="G200" s="237"/>
      <c r="H200" s="259"/>
      <c r="I200" s="55"/>
      <c r="J200" s="61"/>
      <c r="K200" s="109"/>
      <c r="N200" s="119"/>
    </row>
    <row r="201" spans="1:14" ht="14.5" customHeight="1" x14ac:dyDescent="0.3">
      <c r="A201" s="61"/>
      <c r="B201" s="16"/>
      <c r="D201" s="85" t="s">
        <v>265</v>
      </c>
      <c r="E201" s="16" t="s">
        <v>266</v>
      </c>
      <c r="F201" s="10"/>
      <c r="G201" s="237"/>
      <c r="H201" s="259" t="s">
        <v>101</v>
      </c>
      <c r="I201" s="6">
        <v>5</v>
      </c>
      <c r="J201" s="61"/>
      <c r="K201" s="281" t="str">
        <f>D201</f>
        <v>2.5.1</v>
      </c>
      <c r="L201" s="35"/>
      <c r="N201" s="119"/>
    </row>
    <row r="202" spans="1:14" ht="14.5" customHeight="1" x14ac:dyDescent="0.3">
      <c r="A202" s="61"/>
      <c r="B202" s="16"/>
      <c r="D202" s="85" t="s">
        <v>267</v>
      </c>
      <c r="E202" s="16" t="s">
        <v>268</v>
      </c>
      <c r="F202" s="10"/>
      <c r="G202" s="237"/>
      <c r="H202" s="259" t="s">
        <v>101</v>
      </c>
      <c r="I202" s="6">
        <v>5</v>
      </c>
      <c r="J202" s="3"/>
      <c r="K202" s="281" t="str">
        <f>D202</f>
        <v>2.5.2</v>
      </c>
      <c r="L202" s="35"/>
      <c r="N202" s="119"/>
    </row>
    <row r="203" spans="1:14" ht="14.5" customHeight="1" x14ac:dyDescent="0.3">
      <c r="A203" s="61"/>
      <c r="B203" s="53"/>
      <c r="D203" s="85" t="s">
        <v>269</v>
      </c>
      <c r="E203" s="16" t="s">
        <v>270</v>
      </c>
      <c r="F203" s="10"/>
      <c r="G203" s="237"/>
      <c r="H203" s="259" t="s">
        <v>101</v>
      </c>
      <c r="I203" s="6">
        <v>5</v>
      </c>
      <c r="J203" s="3"/>
      <c r="K203" s="281" t="str">
        <f>D203</f>
        <v>2.5.3</v>
      </c>
      <c r="L203" s="35"/>
      <c r="N203" s="119"/>
    </row>
    <row r="204" spans="1:14" ht="14.5" customHeight="1" x14ac:dyDescent="0.3">
      <c r="A204" s="61"/>
      <c r="B204" s="53"/>
      <c r="D204" s="85" t="s">
        <v>271</v>
      </c>
      <c r="E204" s="16" t="s">
        <v>272</v>
      </c>
      <c r="F204" s="10"/>
      <c r="G204" s="237"/>
      <c r="H204" s="259" t="s">
        <v>101</v>
      </c>
      <c r="I204" s="6">
        <v>5</v>
      </c>
      <c r="J204" s="61"/>
      <c r="K204" s="281" t="str">
        <f>D204</f>
        <v>2.5.4</v>
      </c>
      <c r="L204" s="35"/>
      <c r="N204" s="119"/>
    </row>
    <row r="205" spans="1:14" ht="18.5" customHeight="1" thickBot="1" x14ac:dyDescent="0.35">
      <c r="A205" s="61"/>
      <c r="B205" s="53"/>
      <c r="C205" s="285"/>
      <c r="D205" s="285"/>
      <c r="E205" s="20"/>
      <c r="F205" s="20"/>
      <c r="G205" s="17"/>
      <c r="H205" s="18"/>
      <c r="I205" s="21"/>
      <c r="J205" s="277"/>
      <c r="K205" s="9"/>
      <c r="L205" s="9"/>
      <c r="N205" s="29"/>
    </row>
    <row r="206" spans="1:14" ht="23.5" customHeight="1" x14ac:dyDescent="0.4">
      <c r="B206" s="11">
        <v>8</v>
      </c>
      <c r="C206" s="140" t="s">
        <v>273</v>
      </c>
      <c r="D206" s="275"/>
      <c r="E206" s="16"/>
      <c r="F206" s="16"/>
      <c r="G206" s="16"/>
      <c r="H206" s="13" t="s">
        <v>17</v>
      </c>
      <c r="I206" s="286">
        <f>(I207*3+I212*5+I219*5)/13</f>
        <v>3.6538461538461537</v>
      </c>
      <c r="J206" s="61"/>
      <c r="K206" s="238"/>
      <c r="N206" s="118"/>
    </row>
    <row r="207" spans="1:14" ht="23.5" customHeight="1" thickBot="1" x14ac:dyDescent="0.4">
      <c r="A207" s="27"/>
      <c r="B207" s="216">
        <v>1</v>
      </c>
      <c r="C207" s="217" t="s">
        <v>274</v>
      </c>
      <c r="D207" s="275"/>
      <c r="E207" s="16"/>
      <c r="F207" s="16"/>
      <c r="G207" s="16"/>
      <c r="H207" s="218" t="s">
        <v>22</v>
      </c>
      <c r="I207" s="287">
        <f>(IF(I208=Normalize!G68,5,IF(I208&lt;Normalize!G68,5,IF(I208&gt;Normalize!I68,0,5-((I208-Normalize!G68)/(Normalize!I68-Normalize!G68))*5)))+IF(I209=Normalize!G69,5,IF(I209&lt;Normalize!G69,5,IF(I209&gt;Normalize!I69,0,5-((I209-Normalize!G69)/(Normalize!I69-Normalize!G69))*5)))+IF(I210=Normalize!G70,5,IF(I210&lt;Normalize!G70,5,IF(I210&gt;Normalize!I70,0,5-((I210-Normalize!G70)/(Normalize!I70-Normalize!G70))*5))))/3</f>
        <v>2.9166666666666665</v>
      </c>
      <c r="J207" s="61"/>
      <c r="K207" s="50"/>
      <c r="N207" s="118"/>
    </row>
    <row r="208" spans="1:14" ht="14.5" customHeight="1" x14ac:dyDescent="0.35">
      <c r="A208" s="27"/>
      <c r="B208" s="15"/>
      <c r="C208" s="219" t="s">
        <v>20</v>
      </c>
      <c r="D208" s="132" t="s">
        <v>275</v>
      </c>
      <c r="E208" s="16"/>
      <c r="F208" s="16"/>
      <c r="G208" s="12"/>
      <c r="H208" s="259" t="s">
        <v>276</v>
      </c>
      <c r="I208" s="220">
        <v>5</v>
      </c>
      <c r="J208" s="61"/>
      <c r="K208" s="202" t="str">
        <f>C208</f>
        <v>1.1</v>
      </c>
      <c r="L208" s="35"/>
      <c r="N208" s="119"/>
    </row>
    <row r="209" spans="1:14" ht="14.5" customHeight="1" x14ac:dyDescent="0.35">
      <c r="A209" s="27"/>
      <c r="B209" s="15"/>
      <c r="C209" s="219" t="s">
        <v>32</v>
      </c>
      <c r="D209" s="132" t="s">
        <v>277</v>
      </c>
      <c r="E209" s="16"/>
      <c r="F209" s="16"/>
      <c r="G209" s="12"/>
      <c r="H209" s="259" t="s">
        <v>276</v>
      </c>
      <c r="I209" s="8">
        <v>4</v>
      </c>
      <c r="J209" s="3"/>
      <c r="K209" s="202" t="str">
        <f>C209</f>
        <v>1.2</v>
      </c>
      <c r="L209" s="35"/>
      <c r="N209" s="119"/>
    </row>
    <row r="210" spans="1:14" ht="14.5" customHeight="1" x14ac:dyDescent="0.35">
      <c r="A210" s="26"/>
      <c r="B210" s="15"/>
      <c r="C210" s="219" t="s">
        <v>37</v>
      </c>
      <c r="D210" s="132" t="s">
        <v>278</v>
      </c>
      <c r="E210" s="16"/>
      <c r="F210" s="16"/>
      <c r="G210" s="12"/>
      <c r="H210" s="259" t="s">
        <v>276</v>
      </c>
      <c r="I210" s="8">
        <v>2</v>
      </c>
      <c r="J210" s="3"/>
      <c r="K210" s="202" t="str">
        <f>C210</f>
        <v>1.3</v>
      </c>
      <c r="L210" s="35"/>
      <c r="N210" s="119"/>
    </row>
    <row r="211" spans="1:14" ht="18.5" customHeight="1" thickBot="1" x14ac:dyDescent="0.4">
      <c r="A211" s="26"/>
      <c r="B211" s="221"/>
      <c r="C211" s="126"/>
      <c r="D211" s="285"/>
      <c r="E211" s="20"/>
      <c r="F211" s="20"/>
      <c r="G211" s="17"/>
      <c r="H211" s="18"/>
      <c r="I211" s="222"/>
      <c r="J211" s="61"/>
      <c r="K211" s="9"/>
      <c r="L211" s="9"/>
      <c r="N211" s="29"/>
    </row>
    <row r="212" spans="1:14" ht="23.5" customHeight="1" thickBot="1" x14ac:dyDescent="0.4">
      <c r="A212" s="27"/>
      <c r="B212" s="216">
        <v>2</v>
      </c>
      <c r="C212" s="217" t="s">
        <v>279</v>
      </c>
      <c r="D212" s="275"/>
      <c r="E212" s="16"/>
      <c r="F212" s="16"/>
      <c r="G212" s="16"/>
      <c r="H212" s="218" t="s">
        <v>22</v>
      </c>
      <c r="I212" s="288">
        <f>(IF(I213=Normalize!G72,5,IF(I213&lt;Normalize!G72,5,IF(I213&gt;Normalize!I72,0,5-((I213-Normalize!G72)/(Normalize!I72-Normalize!G72))*5)))+IF(I214=Normalize!G73,5,IF(I214&lt;Normalize!G73,5,IF(I214&gt;Normalize!I73,0,((I214-Normalize!G73)/(Normalize!I73-Normalize!G73))*5)))+IF(I215=Normalize!G74,5,IF(I215&lt;Normalize!G74,5,IF(I215&gt;Normalize!I74,0,((I215-Normalize!G74)/(Normalize!I74-Normalize!G74))*5)))+IF(I216=Normalize!G75,5,IF(I216&lt;Normalize!G75,5,IF(I216&gt;Normalize!I75,0,((I216-Normalize!G75)/(Normalize!I75-Normalize!G75))*5)))+IF(I217=Normalize!G76,5,IF(I217&lt;Normalize!G76,5,IF(I217&gt;Normalize!I76,0,((I217-Normalize!G76)/(Normalize!I76-Normalize!G76))*5))))/5</f>
        <v>4</v>
      </c>
      <c r="J212" s="61"/>
      <c r="K212" s="50"/>
      <c r="N212" s="118"/>
    </row>
    <row r="213" spans="1:14" ht="14.5" customHeight="1" x14ac:dyDescent="0.35">
      <c r="A213" s="27"/>
      <c r="B213" s="15"/>
      <c r="C213" s="219" t="s">
        <v>83</v>
      </c>
      <c r="D213" s="289" t="s">
        <v>280</v>
      </c>
      <c r="E213" s="16"/>
      <c r="F213" s="16"/>
      <c r="G213" s="16"/>
      <c r="H213" s="259" t="s">
        <v>276</v>
      </c>
      <c r="I213" s="223">
        <v>1196</v>
      </c>
      <c r="J213" s="143"/>
      <c r="K213" s="202" t="str">
        <f>C213</f>
        <v>2.1</v>
      </c>
      <c r="L213" s="144"/>
      <c r="N213" s="119"/>
    </row>
    <row r="214" spans="1:14" ht="14.5" customHeight="1" x14ac:dyDescent="0.35">
      <c r="A214" s="26"/>
      <c r="B214" s="15"/>
      <c r="C214" s="219" t="s">
        <v>85</v>
      </c>
      <c r="D214" s="289" t="s">
        <v>281</v>
      </c>
      <c r="E214" s="16"/>
      <c r="F214" s="16"/>
      <c r="G214" s="16"/>
      <c r="H214" s="259" t="s">
        <v>282</v>
      </c>
      <c r="I214" s="7">
        <v>281</v>
      </c>
      <c r="J214" s="145"/>
      <c r="K214" s="202" t="str">
        <f>C214</f>
        <v>2.2</v>
      </c>
      <c r="L214" s="144"/>
      <c r="N214" s="119"/>
    </row>
    <row r="215" spans="1:14" ht="14.5" customHeight="1" x14ac:dyDescent="0.35">
      <c r="A215" s="26"/>
      <c r="B215" s="15"/>
      <c r="C215" s="219" t="s">
        <v>87</v>
      </c>
      <c r="D215" s="289" t="s">
        <v>283</v>
      </c>
      <c r="E215" s="16"/>
      <c r="F215" s="16"/>
      <c r="G215" s="16"/>
      <c r="H215" s="259" t="s">
        <v>282</v>
      </c>
      <c r="I215" s="8">
        <v>1.73</v>
      </c>
      <c r="J215" s="146"/>
      <c r="K215" s="202" t="str">
        <f>C215</f>
        <v>2.3</v>
      </c>
      <c r="L215" s="144"/>
      <c r="N215" s="119"/>
    </row>
    <row r="216" spans="1:14" x14ac:dyDescent="0.35">
      <c r="A216" s="27"/>
      <c r="B216" s="141"/>
      <c r="C216" s="224" t="s">
        <v>89</v>
      </c>
      <c r="D216" s="290" t="s">
        <v>284</v>
      </c>
      <c r="E216" s="16"/>
      <c r="F216" s="16"/>
      <c r="G216" s="61"/>
      <c r="H216" s="259" t="s">
        <v>282</v>
      </c>
      <c r="I216" s="291">
        <v>1</v>
      </c>
      <c r="J216" s="292"/>
      <c r="K216" s="202" t="str">
        <f>C216</f>
        <v>2.4</v>
      </c>
      <c r="L216" s="144"/>
      <c r="N216" s="31"/>
    </row>
    <row r="217" spans="1:14" x14ac:dyDescent="0.35">
      <c r="A217" s="27"/>
      <c r="B217" s="141"/>
      <c r="C217" s="224" t="s">
        <v>91</v>
      </c>
      <c r="D217" s="290" t="s">
        <v>285</v>
      </c>
      <c r="E217" s="16"/>
      <c r="F217" s="16"/>
      <c r="G217" s="61"/>
      <c r="H217" s="259" t="s">
        <v>282</v>
      </c>
      <c r="I217" s="291">
        <v>1</v>
      </c>
      <c r="J217" s="292"/>
      <c r="K217" s="202" t="str">
        <f>C217</f>
        <v>2.5</v>
      </c>
      <c r="L217" s="144"/>
      <c r="N217" s="31"/>
    </row>
    <row r="218" spans="1:14" ht="17" customHeight="1" thickBot="1" x14ac:dyDescent="0.35">
      <c r="A218" s="27"/>
      <c r="B218" s="142"/>
      <c r="C218" s="142"/>
      <c r="D218" s="61"/>
      <c r="E218" s="16"/>
      <c r="F218" s="16"/>
      <c r="G218" s="61"/>
      <c r="H218" s="259"/>
      <c r="I218" s="293"/>
      <c r="J218" s="259"/>
      <c r="K218" s="109"/>
      <c r="N218" s="31"/>
    </row>
    <row r="219" spans="1:14" ht="23.5" customHeight="1" thickBot="1" x14ac:dyDescent="0.4">
      <c r="A219" s="27"/>
      <c r="B219" s="225">
        <v>3</v>
      </c>
      <c r="C219" s="226" t="s">
        <v>286</v>
      </c>
      <c r="D219" s="61"/>
      <c r="E219" s="16"/>
      <c r="F219" s="16"/>
      <c r="G219" s="61"/>
      <c r="H219" s="218" t="s">
        <v>22</v>
      </c>
      <c r="I219" s="288">
        <f>(IF(I220=Normalize!G79,5,IF(I220&lt;Normalize!G79,5,IF(I220&gt;Normalize!I79,0,((I220-Normalize!G79)/(Normalize!I79-Normalize!G79))*5)))+IF(I221=Normalize!G80,5,IF(I221&lt;Normalize!G80,5,IF(I221&gt;Normalize!I80,0,((I221-Normalize!G80)/(Normalize!I80-Normalize!G80))*5)))+IF(I222=Normalize!G81,5,IF(I222&lt;Normalize!G81,5,IF(I222&gt;Normalize!I81,0,((I222-Normalize!G81)/(Normalize!I81-Normalize!G81))*5)))+IF(I223=Normalize!G82,5,IF(I223&lt;Normalize!G82,5,IF(I223&gt;Normalize!I82,0,((I223-Normalize!G82)/(Normalize!I82-Normalize!G82))*5)))+IF(I224=Normalize!G83,5,IF(I224&lt;Normalize!G83,5,IF(I224&gt;Normalize!I83,0,((I224-Normalize!G83)/(Normalize!I83-Normalize!G83))*5))))/5</f>
        <v>3.75</v>
      </c>
      <c r="J219" s="294"/>
      <c r="K219" s="109"/>
      <c r="N219" s="31"/>
    </row>
    <row r="220" spans="1:14" x14ac:dyDescent="0.35">
      <c r="A220" s="27"/>
      <c r="B220" s="141"/>
      <c r="C220" s="224" t="s">
        <v>287</v>
      </c>
      <c r="D220" s="290" t="s">
        <v>288</v>
      </c>
      <c r="E220" s="16"/>
      <c r="F220" s="16"/>
      <c r="G220" s="61"/>
      <c r="H220" s="259" t="s">
        <v>282</v>
      </c>
      <c r="I220" s="295">
        <v>1</v>
      </c>
      <c r="J220" s="292"/>
      <c r="K220" s="202" t="str">
        <f>C220</f>
        <v>3.1</v>
      </c>
      <c r="L220" s="144"/>
      <c r="N220" s="31"/>
    </row>
    <row r="221" spans="1:14" x14ac:dyDescent="0.35">
      <c r="A221" s="27"/>
      <c r="B221" s="141"/>
      <c r="C221" s="224" t="s">
        <v>289</v>
      </c>
      <c r="D221" s="290" t="s">
        <v>290</v>
      </c>
      <c r="E221" s="16"/>
      <c r="F221" s="16"/>
      <c r="G221" s="61"/>
      <c r="H221" s="259" t="s">
        <v>282</v>
      </c>
      <c r="I221" s="291">
        <v>1</v>
      </c>
      <c r="J221" s="292"/>
      <c r="K221" s="202" t="str">
        <f>C221</f>
        <v>3.2</v>
      </c>
      <c r="L221" s="144"/>
      <c r="N221" s="31"/>
    </row>
    <row r="222" spans="1:14" x14ac:dyDescent="0.35">
      <c r="A222" s="27"/>
      <c r="B222" s="141"/>
      <c r="C222" s="224" t="s">
        <v>291</v>
      </c>
      <c r="D222" s="290" t="s">
        <v>292</v>
      </c>
      <c r="E222" s="16"/>
      <c r="F222" s="16"/>
      <c r="G222" s="61"/>
      <c r="H222" s="259" t="s">
        <v>282</v>
      </c>
      <c r="I222" s="147">
        <v>-0.06</v>
      </c>
      <c r="J222" s="148"/>
      <c r="K222" s="202" t="str">
        <f>C222</f>
        <v>3.3</v>
      </c>
      <c r="L222" s="144"/>
      <c r="N222" s="31"/>
    </row>
    <row r="223" spans="1:14" x14ac:dyDescent="0.35">
      <c r="A223" s="27"/>
      <c r="B223" s="141"/>
      <c r="C223" s="224" t="s">
        <v>293</v>
      </c>
      <c r="D223" s="290" t="s">
        <v>294</v>
      </c>
      <c r="E223" s="16"/>
      <c r="F223" s="16"/>
      <c r="G223" s="61"/>
      <c r="H223" s="259" t="s">
        <v>282</v>
      </c>
      <c r="I223" s="147">
        <v>-0.44</v>
      </c>
      <c r="J223" s="148"/>
      <c r="K223" s="202" t="str">
        <f>C223</f>
        <v>3.4</v>
      </c>
      <c r="L223" s="144"/>
      <c r="N223" s="31"/>
    </row>
    <row r="224" spans="1:14" x14ac:dyDescent="0.35">
      <c r="A224" s="27"/>
      <c r="B224" s="141"/>
      <c r="C224" s="224" t="s">
        <v>295</v>
      </c>
      <c r="D224" s="290" t="s">
        <v>296</v>
      </c>
      <c r="E224" s="16"/>
      <c r="F224" s="16"/>
      <c r="G224" s="61"/>
      <c r="H224" s="259" t="s">
        <v>282</v>
      </c>
      <c r="I224" s="147">
        <v>0.34</v>
      </c>
      <c r="J224" s="148"/>
      <c r="K224" s="202" t="str">
        <f>C224</f>
        <v>3.5</v>
      </c>
      <c r="L224" s="144"/>
      <c r="N224" s="31"/>
    </row>
    <row r="225" spans="1:14" x14ac:dyDescent="0.3">
      <c r="A225" s="27"/>
      <c r="B225" s="61"/>
      <c r="C225" s="61"/>
      <c r="D225" s="61"/>
      <c r="E225" s="16"/>
      <c r="F225" s="16"/>
      <c r="G225" s="61"/>
      <c r="H225" s="61"/>
      <c r="I225" s="61"/>
      <c r="J225" s="1"/>
      <c r="K225" s="109"/>
      <c r="N225" s="31"/>
    </row>
    <row r="226" spans="1:14" ht="18" customHeight="1" x14ac:dyDescent="0.3">
      <c r="A226" s="27"/>
      <c r="B226" s="34" t="s">
        <v>297</v>
      </c>
      <c r="C226" s="311" t="s">
        <v>298</v>
      </c>
      <c r="D226" s="312"/>
      <c r="E226" s="115" t="s">
        <v>299</v>
      </c>
      <c r="F226" s="296" t="s">
        <v>300</v>
      </c>
      <c r="I226" s="320" t="s">
        <v>301</v>
      </c>
      <c r="J226" s="321"/>
      <c r="K226" s="202">
        <v>2</v>
      </c>
      <c r="L226" s="60" t="s">
        <v>302</v>
      </c>
      <c r="M226" s="4"/>
      <c r="N226" s="323" t="s">
        <v>303</v>
      </c>
    </row>
    <row r="227" spans="1:14" ht="17.5" customHeight="1" x14ac:dyDescent="0.3">
      <c r="A227" s="26"/>
      <c r="B227" s="227"/>
      <c r="C227" s="228"/>
      <c r="D227" s="228"/>
      <c r="E227" s="116"/>
      <c r="F227" s="228"/>
      <c r="I227" s="322"/>
      <c r="J227" s="321"/>
      <c r="K227" s="173">
        <v>3</v>
      </c>
      <c r="L227" s="297"/>
      <c r="N227" s="324"/>
    </row>
    <row r="228" spans="1:14" ht="18" customHeight="1" x14ac:dyDescent="0.3">
      <c r="A228" s="26"/>
      <c r="B228" s="34" t="s">
        <v>304</v>
      </c>
      <c r="C228" s="311" t="s">
        <v>305</v>
      </c>
      <c r="D228" s="312"/>
      <c r="E228" s="115" t="s">
        <v>306</v>
      </c>
      <c r="F228" s="298" t="s">
        <v>307</v>
      </c>
      <c r="I228" s="322"/>
      <c r="J228" s="321"/>
      <c r="K228" s="202">
        <v>4</v>
      </c>
      <c r="L228" s="297"/>
    </row>
    <row r="229" spans="1:14" x14ac:dyDescent="0.3">
      <c r="A229" s="27"/>
      <c r="B229" s="61"/>
      <c r="C229" s="20"/>
      <c r="D229" s="256"/>
      <c r="E229" s="260"/>
      <c r="F229" s="61"/>
      <c r="G229" s="12"/>
      <c r="H229" s="61"/>
      <c r="I229" s="61"/>
      <c r="J229" s="277"/>
      <c r="K229" s="299"/>
      <c r="L229" s="277"/>
    </row>
    <row r="230" spans="1:14" x14ac:dyDescent="0.3">
      <c r="A230" s="61"/>
      <c r="B230" s="61"/>
      <c r="C230" s="20"/>
      <c r="D230" s="256"/>
      <c r="E230" s="260"/>
      <c r="F230" s="61"/>
      <c r="G230" s="12"/>
      <c r="H230" s="61"/>
      <c r="I230" s="61"/>
      <c r="J230" s="277"/>
      <c r="K230" s="299"/>
      <c r="L230" s="277"/>
    </row>
    <row r="231" spans="1:14" ht="18" customHeight="1" x14ac:dyDescent="0.35">
      <c r="A231" s="27"/>
      <c r="B231" s="61"/>
      <c r="C231" s="121" t="s">
        <v>308</v>
      </c>
      <c r="D231" s="123"/>
      <c r="E231" s="124"/>
      <c r="F231" s="125"/>
      <c r="G231" s="126"/>
      <c r="H231" s="126"/>
      <c r="I231" s="126"/>
      <c r="J231" s="126"/>
      <c r="K231" s="176"/>
      <c r="L231" s="127"/>
      <c r="M231" s="127"/>
      <c r="N231" s="127"/>
    </row>
    <row r="232" spans="1:14" x14ac:dyDescent="0.35">
      <c r="A232" s="27"/>
      <c r="B232" s="61"/>
      <c r="C232" s="122"/>
      <c r="D232" s="128" t="s">
        <v>309</v>
      </c>
      <c r="E232" s="315"/>
      <c r="F232" s="316"/>
      <c r="G232" s="314"/>
      <c r="H232" s="129"/>
      <c r="I232" s="129"/>
      <c r="J232" s="129"/>
      <c r="K232" s="176"/>
      <c r="L232" s="127"/>
      <c r="M232" s="127"/>
      <c r="N232" s="127"/>
    </row>
    <row r="233" spans="1:14" x14ac:dyDescent="0.35">
      <c r="A233" s="27"/>
      <c r="B233" s="61"/>
      <c r="C233" s="122"/>
      <c r="D233" s="128" t="s">
        <v>310</v>
      </c>
      <c r="E233" s="318"/>
      <c r="F233" s="316"/>
      <c r="G233" s="314"/>
      <c r="H233" s="130"/>
      <c r="I233" s="131"/>
      <c r="J233" s="130"/>
      <c r="K233" s="131"/>
      <c r="L233" s="131"/>
      <c r="M233" s="131"/>
      <c r="N233" s="131"/>
    </row>
    <row r="234" spans="1:14" x14ac:dyDescent="0.35">
      <c r="A234" s="27"/>
      <c r="B234" s="61"/>
      <c r="C234" s="122"/>
      <c r="D234" s="128" t="s">
        <v>311</v>
      </c>
      <c r="E234" s="318"/>
      <c r="F234" s="316"/>
      <c r="G234" s="314"/>
      <c r="H234" s="132"/>
      <c r="I234" s="317" t="s">
        <v>312</v>
      </c>
      <c r="J234" s="316"/>
      <c r="K234" s="316"/>
      <c r="L234" s="316"/>
      <c r="M234" s="316"/>
      <c r="N234" s="314"/>
    </row>
    <row r="235" spans="1:14" ht="16.5" customHeight="1" x14ac:dyDescent="0.35">
      <c r="A235" s="27"/>
      <c r="B235" s="61"/>
      <c r="C235" s="122"/>
      <c r="D235" s="128" t="s">
        <v>313</v>
      </c>
      <c r="E235" s="318"/>
      <c r="F235" s="316"/>
      <c r="G235" s="314"/>
      <c r="H235" s="132"/>
      <c r="I235" s="325" t="s">
        <v>314</v>
      </c>
      <c r="J235" s="314"/>
      <c r="K235" s="319" t="s">
        <v>315</v>
      </c>
      <c r="L235" s="314"/>
      <c r="M235" s="313" t="s">
        <v>316</v>
      </c>
      <c r="N235" s="314"/>
    </row>
    <row r="236" spans="1:14" ht="28" customHeight="1" x14ac:dyDescent="0.35">
      <c r="A236" s="27"/>
      <c r="B236" s="61"/>
      <c r="C236" s="122"/>
      <c r="D236" s="128" t="s">
        <v>317</v>
      </c>
      <c r="E236" s="318"/>
      <c r="F236" s="316"/>
      <c r="G236" s="314"/>
      <c r="H236" s="132"/>
      <c r="I236" s="133" t="s">
        <v>318</v>
      </c>
      <c r="J236" s="134" t="s">
        <v>319</v>
      </c>
      <c r="K236" s="133" t="s">
        <v>318</v>
      </c>
      <c r="L236" s="135" t="s">
        <v>319</v>
      </c>
      <c r="M236" s="133" t="s">
        <v>318</v>
      </c>
      <c r="N236" s="134" t="s">
        <v>319</v>
      </c>
    </row>
    <row r="237" spans="1:14" ht="17" customHeight="1" x14ac:dyDescent="0.35">
      <c r="A237" s="27"/>
      <c r="B237" s="61"/>
      <c r="C237" s="61"/>
      <c r="D237" s="136" t="s">
        <v>320</v>
      </c>
      <c r="E237" s="137" t="s">
        <v>321</v>
      </c>
      <c r="F237" s="137" t="s">
        <v>322</v>
      </c>
      <c r="G237" s="137" t="s">
        <v>323</v>
      </c>
      <c r="H237" s="138" t="s">
        <v>324</v>
      </c>
      <c r="I237" s="300">
        <v>0</v>
      </c>
      <c r="J237" s="301">
        <v>0</v>
      </c>
      <c r="K237" s="302">
        <v>0</v>
      </c>
      <c r="L237" s="301">
        <v>0</v>
      </c>
      <c r="M237" s="300">
        <v>0</v>
      </c>
      <c r="N237" s="301">
        <v>0</v>
      </c>
    </row>
    <row r="238" spans="1:14" ht="17" customHeight="1" thickBot="1" x14ac:dyDescent="0.35">
      <c r="A238" s="26"/>
      <c r="B238" s="61"/>
      <c r="C238" s="61"/>
      <c r="D238" s="61"/>
      <c r="E238" s="16"/>
      <c r="F238" s="16"/>
      <c r="G238" s="16"/>
      <c r="H238" s="61"/>
      <c r="I238" s="61"/>
      <c r="J238" s="277"/>
      <c r="K238" s="299"/>
      <c r="L238" s="277"/>
    </row>
    <row r="239" spans="1:14" x14ac:dyDescent="0.3">
      <c r="A239" s="26"/>
      <c r="B239" s="61"/>
      <c r="C239" s="61"/>
      <c r="D239" s="61"/>
      <c r="E239" s="16"/>
      <c r="F239" s="16"/>
      <c r="G239" s="16"/>
      <c r="H239" s="61"/>
      <c r="I239" s="61"/>
      <c r="J239" s="277"/>
      <c r="K239" s="299"/>
      <c r="L239" s="277"/>
    </row>
    <row r="240" spans="1:14" x14ac:dyDescent="0.3">
      <c r="A240" s="26"/>
      <c r="B240" s="61"/>
      <c r="C240" s="61"/>
      <c r="D240" s="61"/>
      <c r="E240" s="16"/>
      <c r="F240" s="16"/>
      <c r="G240" s="16"/>
      <c r="H240" s="61"/>
      <c r="I240" s="61"/>
      <c r="J240" s="280"/>
      <c r="K240" s="303"/>
      <c r="L240" s="280"/>
    </row>
    <row r="241" spans="1:12" x14ac:dyDescent="0.3">
      <c r="A241" s="26"/>
      <c r="B241" s="61"/>
      <c r="C241" s="61"/>
      <c r="D241" s="61"/>
      <c r="E241" s="16"/>
      <c r="F241" s="16"/>
      <c r="G241" s="12"/>
      <c r="H241" s="3"/>
      <c r="I241" s="3"/>
      <c r="J241" s="17"/>
      <c r="K241" s="177"/>
      <c r="L241" s="17"/>
    </row>
    <row r="242" spans="1:12" x14ac:dyDescent="0.3">
      <c r="A242" s="26"/>
      <c r="B242" s="61"/>
      <c r="C242" s="61"/>
      <c r="D242" s="61"/>
      <c r="E242" s="16"/>
      <c r="F242" s="16"/>
      <c r="G242" s="12"/>
      <c r="H242" s="3"/>
      <c r="I242" s="3"/>
      <c r="J242" s="28"/>
      <c r="K242" s="86"/>
      <c r="L242" s="28"/>
    </row>
    <row r="243" spans="1:12" x14ac:dyDescent="0.3">
      <c r="A243" s="26"/>
      <c r="B243" s="61"/>
      <c r="C243" s="61"/>
      <c r="D243" s="61"/>
      <c r="E243" s="16"/>
      <c r="F243" s="16"/>
      <c r="G243" s="12"/>
      <c r="H243" s="3"/>
      <c r="I243" s="3"/>
      <c r="J243" s="28"/>
      <c r="K243" s="86"/>
      <c r="L243" s="28"/>
    </row>
    <row r="244" spans="1:12" x14ac:dyDescent="0.3">
      <c r="A244" s="26"/>
      <c r="B244" s="10"/>
      <c r="C244" s="10"/>
      <c r="D244" s="10"/>
      <c r="E244" s="229"/>
      <c r="F244" s="229"/>
      <c r="G244" s="46"/>
      <c r="H244" s="237"/>
      <c r="I244" s="237"/>
    </row>
    <row r="245" spans="1:12" x14ac:dyDescent="0.3">
      <c r="A245" s="27"/>
      <c r="B245" s="10"/>
      <c r="C245" s="10"/>
      <c r="D245" s="10"/>
      <c r="E245" s="229"/>
      <c r="F245" s="229"/>
      <c r="G245" s="46"/>
      <c r="H245" s="237"/>
      <c r="I245" s="237"/>
    </row>
    <row r="246" spans="1:12" x14ac:dyDescent="0.3">
      <c r="A246" s="27"/>
      <c r="B246" s="10"/>
      <c r="C246" s="10"/>
      <c r="D246" s="10"/>
      <c r="E246" s="229"/>
      <c r="F246" s="229"/>
      <c r="G246" s="46"/>
      <c r="H246" s="237"/>
      <c r="I246" s="237"/>
    </row>
    <row r="247" spans="1:12" x14ac:dyDescent="0.3">
      <c r="A247" s="27"/>
      <c r="B247" s="14"/>
      <c r="C247" s="14"/>
      <c r="D247" s="14"/>
      <c r="E247" s="20"/>
      <c r="F247" s="20"/>
      <c r="G247" s="17"/>
      <c r="H247" s="3"/>
      <c r="I247" s="5"/>
    </row>
    <row r="248" spans="1:12" x14ac:dyDescent="0.3">
      <c r="A248" s="3"/>
      <c r="B248" s="14"/>
      <c r="C248" s="14"/>
      <c r="D248" s="14"/>
      <c r="E248" s="20"/>
      <c r="F248" s="20"/>
      <c r="G248" s="20"/>
      <c r="H248" s="61"/>
      <c r="I248" s="28"/>
    </row>
    <row r="249" spans="1:12" x14ac:dyDescent="0.3">
      <c r="A249" s="61"/>
      <c r="B249" s="14"/>
      <c r="C249" s="14"/>
      <c r="D249" s="14"/>
      <c r="E249" s="20"/>
      <c r="F249" s="20"/>
      <c r="G249" s="20"/>
      <c r="H249" s="61"/>
      <c r="I249" s="28"/>
      <c r="J249" s="9"/>
      <c r="K249" s="83"/>
      <c r="L249" s="9"/>
    </row>
    <row r="250" spans="1:12" x14ac:dyDescent="0.3">
      <c r="A250" s="61"/>
    </row>
    <row r="255" spans="1:12" x14ac:dyDescent="0.3">
      <c r="B255" s="234"/>
      <c r="C255" s="234"/>
      <c r="D255" s="234"/>
      <c r="E255" s="229"/>
      <c r="F255" s="229"/>
      <c r="G255" s="46"/>
      <c r="H255" s="237"/>
      <c r="I255" s="9"/>
      <c r="J255" s="9"/>
      <c r="K255" s="83"/>
      <c r="L255" s="9"/>
    </row>
    <row r="256" spans="1:12" x14ac:dyDescent="0.3">
      <c r="B256" s="234"/>
      <c r="C256" s="234"/>
      <c r="D256" s="234"/>
      <c r="E256" s="229"/>
      <c r="F256" s="229"/>
      <c r="G256" s="46"/>
      <c r="H256" s="237"/>
      <c r="I256" s="9"/>
      <c r="J256" s="9"/>
      <c r="K256" s="83"/>
      <c r="L256" s="9"/>
    </row>
    <row r="257" spans="1:12" x14ac:dyDescent="0.3">
      <c r="A257" s="237"/>
      <c r="B257" s="234"/>
      <c r="C257" s="234"/>
      <c r="D257" s="234"/>
      <c r="E257" s="229"/>
      <c r="F257" s="229"/>
      <c r="G257" s="46"/>
      <c r="H257" s="237"/>
      <c r="I257" s="9"/>
      <c r="J257" s="9"/>
      <c r="K257" s="83"/>
      <c r="L257" s="9"/>
    </row>
    <row r="258" spans="1:12" x14ac:dyDescent="0.3">
      <c r="A258" s="237"/>
      <c r="B258" s="234"/>
      <c r="C258" s="234"/>
      <c r="D258" s="234"/>
      <c r="E258" s="229"/>
      <c r="F258" s="229"/>
      <c r="G258" s="46"/>
      <c r="H258" s="237"/>
      <c r="I258" s="9"/>
      <c r="J258" s="9"/>
      <c r="K258" s="83"/>
      <c r="L258" s="9"/>
    </row>
    <row r="259" spans="1:12" x14ac:dyDescent="0.3">
      <c r="A259" s="237"/>
      <c r="B259" s="234"/>
      <c r="C259" s="234"/>
      <c r="D259" s="234"/>
      <c r="E259" s="229"/>
      <c r="F259" s="229"/>
      <c r="G259" s="46"/>
      <c r="H259" s="237"/>
      <c r="I259" s="9"/>
      <c r="J259" s="9"/>
      <c r="K259" s="83"/>
      <c r="L259" s="9"/>
    </row>
    <row r="260" spans="1:12" x14ac:dyDescent="0.3">
      <c r="A260" s="237"/>
      <c r="B260" s="234"/>
      <c r="C260" s="234"/>
      <c r="D260" s="234"/>
      <c r="E260" s="229"/>
      <c r="F260" s="229"/>
      <c r="G260" s="46"/>
      <c r="H260" s="237"/>
      <c r="I260" s="9"/>
      <c r="J260" s="9"/>
      <c r="K260" s="83"/>
      <c r="L260" s="9"/>
    </row>
    <row r="261" spans="1:12" x14ac:dyDescent="0.3">
      <c r="A261" s="237"/>
      <c r="B261" s="234"/>
      <c r="C261" s="234"/>
      <c r="D261" s="234"/>
      <c r="E261" s="229"/>
      <c r="F261" s="229"/>
      <c r="G261" s="46"/>
      <c r="H261" s="237"/>
      <c r="I261" s="9"/>
      <c r="J261" s="9"/>
      <c r="K261" s="83"/>
      <c r="L261" s="9"/>
    </row>
    <row r="262" spans="1:12" x14ac:dyDescent="0.3">
      <c r="A262" s="237"/>
      <c r="B262" s="234"/>
      <c r="C262" s="234"/>
      <c r="D262" s="234"/>
      <c r="E262" s="229"/>
      <c r="F262" s="229"/>
      <c r="G262" s="46"/>
      <c r="H262" s="237"/>
      <c r="I262" s="9"/>
      <c r="J262" s="9"/>
      <c r="K262" s="83"/>
      <c r="L262" s="9"/>
    </row>
    <row r="263" spans="1:12" x14ac:dyDescent="0.3">
      <c r="A263" s="237"/>
      <c r="B263" s="234"/>
      <c r="C263" s="234"/>
      <c r="D263" s="234"/>
      <c r="E263" s="229"/>
      <c r="F263" s="229"/>
      <c r="G263" s="46"/>
      <c r="H263" s="237"/>
      <c r="I263" s="9"/>
      <c r="J263" s="9"/>
      <c r="K263" s="83"/>
      <c r="L263" s="9"/>
    </row>
    <row r="264" spans="1:12" x14ac:dyDescent="0.3">
      <c r="A264" s="237"/>
      <c r="B264" s="234"/>
      <c r="C264" s="234"/>
      <c r="D264" s="234"/>
      <c r="E264" s="229"/>
      <c r="F264" s="229"/>
      <c r="G264" s="46"/>
      <c r="H264" s="237"/>
      <c r="I264" s="9"/>
      <c r="J264" s="9"/>
      <c r="K264" s="83"/>
      <c r="L264" s="9"/>
    </row>
    <row r="265" spans="1:12" x14ac:dyDescent="0.3">
      <c r="A265" s="237"/>
      <c r="B265" s="234"/>
      <c r="C265" s="234"/>
      <c r="D265" s="234"/>
      <c r="E265" s="229"/>
      <c r="F265" s="229"/>
      <c r="G265" s="46"/>
      <c r="H265" s="237"/>
      <c r="I265" s="9"/>
      <c r="J265" s="9"/>
      <c r="K265" s="83"/>
      <c r="L265" s="9"/>
    </row>
    <row r="266" spans="1:12" x14ac:dyDescent="0.3">
      <c r="A266" s="237"/>
      <c r="B266" s="234"/>
      <c r="C266" s="234"/>
      <c r="D266" s="234"/>
      <c r="E266" s="229"/>
      <c r="F266" s="229"/>
      <c r="G266" s="46"/>
      <c r="H266" s="237"/>
      <c r="I266" s="9"/>
      <c r="J266" s="9"/>
      <c r="K266" s="83"/>
      <c r="L266" s="9"/>
    </row>
    <row r="267" spans="1:12" x14ac:dyDescent="0.3">
      <c r="A267" s="237"/>
      <c r="B267" s="234"/>
      <c r="C267" s="234"/>
      <c r="D267" s="234"/>
      <c r="E267" s="229"/>
      <c r="F267" s="229"/>
      <c r="G267" s="46"/>
      <c r="H267" s="237"/>
      <c r="I267" s="9"/>
      <c r="J267" s="9"/>
      <c r="K267" s="83"/>
      <c r="L267" s="9"/>
    </row>
    <row r="268" spans="1:12" x14ac:dyDescent="0.3">
      <c r="A268" s="237"/>
      <c r="B268" s="234"/>
      <c r="C268" s="234"/>
      <c r="D268" s="234"/>
      <c r="E268" s="229"/>
      <c r="F268" s="229"/>
      <c r="G268" s="46"/>
      <c r="H268" s="237"/>
      <c r="I268" s="9"/>
      <c r="J268" s="9"/>
      <c r="K268" s="83"/>
      <c r="L268" s="9"/>
    </row>
    <row r="269" spans="1:12" x14ac:dyDescent="0.3">
      <c r="A269" s="237"/>
      <c r="B269" s="234"/>
      <c r="C269" s="234"/>
      <c r="D269" s="234"/>
      <c r="E269" s="229"/>
      <c r="F269" s="229"/>
      <c r="G269" s="46"/>
      <c r="H269" s="237"/>
      <c r="I269" s="9"/>
      <c r="J269" s="9"/>
      <c r="K269" s="83"/>
      <c r="L269" s="9"/>
    </row>
    <row r="270" spans="1:12" x14ac:dyDescent="0.3">
      <c r="A270" s="237"/>
      <c r="B270" s="234"/>
      <c r="C270" s="234"/>
      <c r="D270" s="234"/>
      <c r="E270" s="229"/>
      <c r="F270" s="229"/>
      <c r="G270" s="46"/>
      <c r="H270" s="237"/>
      <c r="I270" s="9"/>
      <c r="J270" s="9"/>
      <c r="K270" s="83"/>
      <c r="L270" s="9"/>
    </row>
    <row r="271" spans="1:12" x14ac:dyDescent="0.3">
      <c r="A271" s="237"/>
      <c r="B271" s="234"/>
      <c r="C271" s="234"/>
      <c r="D271" s="234"/>
      <c r="E271" s="229"/>
      <c r="F271" s="229"/>
      <c r="G271" s="46"/>
      <c r="H271" s="237"/>
      <c r="I271" s="9"/>
      <c r="J271" s="9"/>
      <c r="K271" s="83"/>
      <c r="L271" s="9"/>
    </row>
    <row r="272" spans="1:12" x14ac:dyDescent="0.3">
      <c r="A272" s="237"/>
      <c r="B272" s="234"/>
      <c r="C272" s="234"/>
      <c r="D272" s="234"/>
      <c r="E272" s="229"/>
      <c r="F272" s="229"/>
      <c r="G272" s="46"/>
      <c r="H272" s="237"/>
      <c r="I272" s="9"/>
      <c r="J272" s="9"/>
      <c r="K272" s="83"/>
      <c r="L272" s="9"/>
    </row>
    <row r="273" spans="1:12" x14ac:dyDescent="0.3">
      <c r="A273" s="237"/>
      <c r="B273" s="234"/>
      <c r="C273" s="234"/>
      <c r="D273" s="234"/>
      <c r="E273" s="229"/>
      <c r="F273" s="229"/>
      <c r="G273" s="46"/>
      <c r="H273" s="237"/>
      <c r="I273" s="9"/>
      <c r="J273" s="9"/>
      <c r="K273" s="83"/>
      <c r="L273" s="9"/>
    </row>
    <row r="274" spans="1:12" x14ac:dyDescent="0.3">
      <c r="A274" s="237"/>
      <c r="B274" s="234"/>
      <c r="C274" s="234"/>
      <c r="D274" s="234"/>
      <c r="E274" s="229"/>
      <c r="F274" s="229"/>
      <c r="G274" s="46"/>
      <c r="H274" s="237"/>
      <c r="I274" s="9"/>
      <c r="J274" s="9"/>
      <c r="K274" s="83"/>
      <c r="L274" s="9"/>
    </row>
    <row r="275" spans="1:12" x14ac:dyDescent="0.3">
      <c r="A275" s="237"/>
    </row>
    <row r="276" spans="1:12" x14ac:dyDescent="0.3">
      <c r="A276" s="237"/>
      <c r="B276" s="234"/>
      <c r="C276" s="234"/>
      <c r="D276" s="234"/>
      <c r="E276" s="229"/>
      <c r="F276" s="229"/>
      <c r="G276" s="46"/>
      <c r="H276" s="237"/>
      <c r="I276" s="9"/>
      <c r="J276" s="9"/>
      <c r="K276" s="83"/>
      <c r="L276" s="9"/>
    </row>
    <row r="277" spans="1:12" x14ac:dyDescent="0.3">
      <c r="A277" s="237"/>
      <c r="B277" s="234"/>
      <c r="C277" s="234"/>
      <c r="D277" s="234"/>
      <c r="E277" s="229"/>
      <c r="F277" s="229"/>
      <c r="G277" s="46"/>
      <c r="H277" s="237"/>
      <c r="I277" s="9"/>
      <c r="J277" s="9"/>
      <c r="K277" s="83"/>
      <c r="L277" s="9"/>
    </row>
    <row r="278" spans="1:12" x14ac:dyDescent="0.3">
      <c r="A278" s="237"/>
      <c r="B278" s="234"/>
      <c r="C278" s="234"/>
      <c r="D278" s="234"/>
      <c r="E278" s="229"/>
      <c r="F278" s="229"/>
      <c r="G278" s="46"/>
      <c r="H278" s="237"/>
      <c r="I278" s="9"/>
      <c r="J278" s="9"/>
      <c r="K278" s="83"/>
      <c r="L278" s="9"/>
    </row>
    <row r="279" spans="1:12" x14ac:dyDescent="0.3">
      <c r="A279" s="237"/>
      <c r="B279" s="234"/>
      <c r="C279" s="234"/>
      <c r="D279" s="234"/>
      <c r="E279" s="229"/>
      <c r="F279" s="229"/>
      <c r="G279" s="46"/>
      <c r="H279" s="237"/>
      <c r="I279" s="9"/>
      <c r="J279" s="9"/>
      <c r="K279" s="83"/>
      <c r="L279" s="9"/>
    </row>
    <row r="280" spans="1:12" x14ac:dyDescent="0.3">
      <c r="A280" s="237"/>
      <c r="B280" s="234"/>
      <c r="C280" s="234"/>
      <c r="D280" s="234"/>
      <c r="E280" s="229"/>
      <c r="F280" s="229"/>
      <c r="G280" s="46"/>
      <c r="H280" s="237"/>
      <c r="I280" s="9"/>
      <c r="J280" s="9"/>
      <c r="K280" s="83"/>
      <c r="L280" s="9"/>
    </row>
    <row r="281" spans="1:12" x14ac:dyDescent="0.3">
      <c r="A281" s="237"/>
      <c r="B281" s="234"/>
      <c r="C281" s="234"/>
      <c r="D281" s="234"/>
      <c r="E281" s="229"/>
      <c r="F281" s="229"/>
      <c r="G281" s="46"/>
      <c r="H281" s="237"/>
      <c r="I281" s="9"/>
      <c r="J281" s="9"/>
      <c r="K281" s="83"/>
      <c r="L281" s="9"/>
    </row>
    <row r="282" spans="1:12" x14ac:dyDescent="0.3">
      <c r="A282" s="237"/>
      <c r="B282" s="234"/>
      <c r="C282" s="234"/>
      <c r="D282" s="234"/>
      <c r="E282" s="229"/>
      <c r="F282" s="229"/>
      <c r="G282" s="46"/>
      <c r="H282" s="237"/>
      <c r="I282" s="9"/>
      <c r="J282" s="9"/>
      <c r="K282" s="83"/>
      <c r="L282" s="9"/>
    </row>
  </sheetData>
  <mergeCells count="13">
    <mergeCell ref="E236:G236"/>
    <mergeCell ref="K235:L235"/>
    <mergeCell ref="I226:J228"/>
    <mergeCell ref="E233:G233"/>
    <mergeCell ref="N226:N227"/>
    <mergeCell ref="I235:J235"/>
    <mergeCell ref="E234:G234"/>
    <mergeCell ref="C226:D226"/>
    <mergeCell ref="M235:N235"/>
    <mergeCell ref="E232:G232"/>
    <mergeCell ref="I234:N234"/>
    <mergeCell ref="C228:D228"/>
    <mergeCell ref="E235:G235"/>
  </mergeCells>
  <dataValidations disablePrompts="1" xWindow="951" yWindow="685" count="5">
    <dataValidation type="list" operator="greaterThanOrEqual" allowBlank="1" showInputMessage="1" showErrorMessage="1" errorTitle="ניתן להזין בתא זה רק 5 או 0" error="כן=5; לא=0" sqref="I186 I192 I197:I199 I203:I204" xr:uid="{00000000-0002-0000-0000-000000000000}">
      <formula1>"0,5"</formula1>
    </dataValidation>
    <dataValidation type="decimal" allowBlank="1" showInputMessage="1" showErrorMessage="1" error="ספרות בלבד" sqref="I42:I44 I46:I48 I50:I52 I54:I56 I58:I60 I62:I64 I66:I68 I70:I72 I74:I76 I80:I87 I89:I95" xr:uid="{00000000-0002-0000-0000-000001000000}">
      <formula1>0</formula1>
      <formula2>9999999</formula2>
    </dataValidation>
    <dataValidation type="list" operator="greaterThanOrEqual" showInputMessage="1" showErrorMessage="1" sqref="I93:I95 I98:I99 I103:I112 I114:I123 I125:I134 I136:I145 I147:I156 I158:I167 I179 I184 I190:I191 I193 I196 I201:I202" xr:uid="{00000000-0002-0000-0000-000002000000}">
      <formula1>"0,5"</formula1>
    </dataValidation>
    <dataValidation showInputMessage="1" showErrorMessage="1" error="ספרות בלבד" sqref="I179" xr:uid="{00000000-0002-0000-0000-000003000000}"/>
    <dataValidation type="whole" showInputMessage="1" showErrorMessage="1" errorTitle="תא מוגבל הזנה" error="ערך זה הינו נומרי + בן 4 ספרות בלבד." sqref="I179" xr:uid="{00000000-0002-0000-0000-000004000000}">
      <formula1>1900</formula1>
      <formula2>2100</formula2>
    </dataValidation>
  </dataValidations>
  <pageMargins left="0" right="0" top="0" bottom="0" header="0" footer="0"/>
  <pageSetup paperSize="9"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B1:J84"/>
  <sheetViews>
    <sheetView showGridLines="0" rightToLeft="1" tabSelected="1" topLeftCell="A49" zoomScale="65" zoomScaleNormal="65" workbookViewId="0">
      <selection activeCell="B61" sqref="B61"/>
    </sheetView>
  </sheetViews>
  <sheetFormatPr defaultColWidth="19" defaultRowHeight="14" x14ac:dyDescent="0.3"/>
  <cols>
    <col min="1" max="1" width="4.25" style="47" customWidth="1"/>
    <col min="2" max="2" width="6.4140625" style="47" customWidth="1"/>
    <col min="3" max="3" width="6.4140625" style="182" customWidth="1"/>
    <col min="4" max="4" width="6.33203125" style="47" customWidth="1"/>
    <col min="5" max="5" width="4.25" style="47" customWidth="1"/>
    <col min="6" max="6" width="40.75" style="47" customWidth="1"/>
    <col min="7" max="7" width="14.75" style="47" customWidth="1"/>
    <col min="8" max="9" width="13.9140625" style="47" bestFit="1" customWidth="1"/>
    <col min="10" max="10" width="9.75" style="47" customWidth="1"/>
    <col min="11" max="13" width="19" style="47" customWidth="1"/>
    <col min="14" max="16384" width="19" style="47"/>
  </cols>
  <sheetData>
    <row r="1" spans="2:9" ht="25" customHeight="1" x14ac:dyDescent="0.3">
      <c r="B1" s="179" t="s">
        <v>325</v>
      </c>
      <c r="D1" s="179"/>
      <c r="E1" s="179"/>
      <c r="F1" s="180"/>
      <c r="G1" s="76" t="s">
        <v>326</v>
      </c>
      <c r="H1" s="76" t="s">
        <v>327</v>
      </c>
      <c r="I1" s="76" t="s">
        <v>328</v>
      </c>
    </row>
    <row r="2" spans="2:9" ht="23" customHeight="1" x14ac:dyDescent="0.5">
      <c r="B2" s="230">
        <v>1</v>
      </c>
      <c r="C2" s="304" t="s">
        <v>329</v>
      </c>
    </row>
    <row r="3" spans="2:9" ht="17.5" customHeight="1" x14ac:dyDescent="0.3">
      <c r="B3" s="17">
        <v>1</v>
      </c>
      <c r="C3" s="305" t="s">
        <v>329</v>
      </c>
    </row>
    <row r="4" spans="2:9" ht="17.149999999999999" customHeight="1" x14ac:dyDescent="0.35">
      <c r="C4" s="256">
        <v>1.1000000000000001</v>
      </c>
      <c r="D4" s="156" t="s">
        <v>21</v>
      </c>
      <c r="E4" s="158"/>
      <c r="F4" s="12"/>
      <c r="G4" s="12"/>
      <c r="H4" s="36"/>
      <c r="I4" s="36"/>
    </row>
    <row r="5" spans="2:9" ht="17.149999999999999" customHeight="1" x14ac:dyDescent="0.35">
      <c r="C5" s="61"/>
      <c r="D5" s="61" t="s">
        <v>24</v>
      </c>
      <c r="E5" s="192" t="s">
        <v>25</v>
      </c>
      <c r="F5" s="3"/>
      <c r="G5" s="181">
        <v>5</v>
      </c>
      <c r="H5" s="181">
        <f>(G5+I5)/2</f>
        <v>5</v>
      </c>
      <c r="I5" s="181">
        <v>5</v>
      </c>
    </row>
    <row r="6" spans="2:9" ht="17.149999999999999" customHeight="1" x14ac:dyDescent="0.35">
      <c r="C6" s="61"/>
      <c r="D6" s="61" t="s">
        <v>27</v>
      </c>
      <c r="E6" s="192" t="s">
        <v>28</v>
      </c>
      <c r="F6" s="3"/>
      <c r="G6" s="80">
        <v>6.0000000000000001E-3</v>
      </c>
      <c r="H6" s="80">
        <f>(G6+I6)/2</f>
        <v>6.0000000000000001E-3</v>
      </c>
      <c r="I6" s="80">
        <v>6.0000000000000001E-3</v>
      </c>
    </row>
    <row r="7" spans="2:9" ht="17.149999999999999" customHeight="1" x14ac:dyDescent="0.35">
      <c r="C7" s="61"/>
      <c r="D7" s="61" t="s">
        <v>30</v>
      </c>
      <c r="E7" s="192" t="s">
        <v>31</v>
      </c>
      <c r="F7" s="3"/>
      <c r="G7" s="80">
        <v>8.0000000000000002E-3</v>
      </c>
      <c r="H7" s="80">
        <f>(G7+I7)/2</f>
        <v>8.0000000000000002E-3</v>
      </c>
      <c r="I7" s="80">
        <v>8.0000000000000002E-3</v>
      </c>
    </row>
    <row r="8" spans="2:9" ht="17.149999999999999" customHeight="1" x14ac:dyDescent="0.35">
      <c r="C8" s="256">
        <v>1.2</v>
      </c>
      <c r="D8" s="156" t="s">
        <v>33</v>
      </c>
      <c r="E8" s="156"/>
      <c r="F8" s="3"/>
      <c r="G8" s="12"/>
      <c r="H8" s="36"/>
      <c r="I8" s="36"/>
    </row>
    <row r="9" spans="2:9" ht="17.149999999999999" customHeight="1" x14ac:dyDescent="0.35">
      <c r="C9" s="157"/>
      <c r="D9" s="61" t="s">
        <v>34</v>
      </c>
      <c r="E9" s="192" t="s">
        <v>25</v>
      </c>
      <c r="F9" s="3"/>
      <c r="G9" s="181">
        <v>5</v>
      </c>
      <c r="H9" s="181">
        <f>(G9+I9)/2</f>
        <v>5</v>
      </c>
      <c r="I9" s="181">
        <v>5</v>
      </c>
    </row>
    <row r="10" spans="2:9" ht="17.149999999999999" customHeight="1" x14ac:dyDescent="0.35">
      <c r="C10" s="61"/>
      <c r="D10" s="61" t="s">
        <v>35</v>
      </c>
      <c r="E10" s="192" t="s">
        <v>28</v>
      </c>
      <c r="F10" s="3"/>
      <c r="G10" s="194">
        <v>80</v>
      </c>
      <c r="H10" s="181">
        <f>(G10+I10)/2</f>
        <v>80</v>
      </c>
      <c r="I10" s="194">
        <v>80</v>
      </c>
    </row>
    <row r="11" spans="2:9" ht="17.149999999999999" customHeight="1" x14ac:dyDescent="0.35">
      <c r="C11" s="157"/>
      <c r="D11" s="61" t="s">
        <v>36</v>
      </c>
      <c r="E11" s="192" t="s">
        <v>31</v>
      </c>
      <c r="F11" s="3"/>
      <c r="G11" s="194">
        <v>90</v>
      </c>
      <c r="H11" s="181">
        <f>(G11+I11)/2</f>
        <v>90</v>
      </c>
      <c r="I11" s="194">
        <v>90</v>
      </c>
    </row>
    <row r="12" spans="2:9" ht="17.149999999999999" customHeight="1" x14ac:dyDescent="0.35">
      <c r="C12" s="256">
        <v>1.3</v>
      </c>
      <c r="D12" s="156" t="s">
        <v>38</v>
      </c>
      <c r="E12" s="156"/>
      <c r="F12" s="3"/>
      <c r="G12" s="12"/>
      <c r="H12" s="36"/>
      <c r="I12" s="36"/>
    </row>
    <row r="13" spans="2:9" ht="17.149999999999999" customHeight="1" x14ac:dyDescent="0.35">
      <c r="C13" s="157"/>
      <c r="D13" s="61" t="s">
        <v>39</v>
      </c>
      <c r="E13" s="192" t="s">
        <v>25</v>
      </c>
      <c r="F13" s="3"/>
      <c r="G13" s="181">
        <v>5</v>
      </c>
      <c r="H13" s="181">
        <f>(G13+I13)/2</f>
        <v>5</v>
      </c>
      <c r="I13" s="181">
        <v>5</v>
      </c>
    </row>
    <row r="14" spans="2:9" ht="17.149999999999999" customHeight="1" x14ac:dyDescent="0.35">
      <c r="C14" s="157"/>
      <c r="D14" s="61" t="s">
        <v>40</v>
      </c>
      <c r="E14" s="192" t="s">
        <v>28</v>
      </c>
      <c r="F14" s="3"/>
      <c r="G14" s="80">
        <v>6.0000000000000001E-3</v>
      </c>
      <c r="H14" s="80">
        <f>(G14+I14)/2</f>
        <v>6.0000000000000001E-3</v>
      </c>
      <c r="I14" s="80">
        <v>6.0000000000000001E-3</v>
      </c>
    </row>
    <row r="15" spans="2:9" ht="17.149999999999999" customHeight="1" x14ac:dyDescent="0.35">
      <c r="C15" s="157"/>
      <c r="D15" s="61" t="s">
        <v>41</v>
      </c>
      <c r="E15" s="192" t="s">
        <v>31</v>
      </c>
      <c r="F15" s="3"/>
      <c r="G15" s="80">
        <v>8.0000000000000002E-3</v>
      </c>
      <c r="H15" s="80">
        <f>(G15+I15)/2</f>
        <v>8.0000000000000002E-3</v>
      </c>
      <c r="I15" s="80">
        <v>8.0000000000000002E-3</v>
      </c>
    </row>
    <row r="16" spans="2:9" ht="17.149999999999999" customHeight="1" x14ac:dyDescent="0.35">
      <c r="C16" s="256">
        <v>1.4</v>
      </c>
      <c r="D16" s="156" t="s">
        <v>43</v>
      </c>
      <c r="E16" s="156"/>
      <c r="F16" s="3"/>
      <c r="G16" s="12"/>
      <c r="H16" s="36"/>
      <c r="I16" s="36"/>
    </row>
    <row r="17" spans="3:9" ht="17.149999999999999" customHeight="1" x14ac:dyDescent="0.35">
      <c r="C17" s="157"/>
      <c r="D17" s="61" t="s">
        <v>44</v>
      </c>
      <c r="E17" s="192" t="s">
        <v>25</v>
      </c>
      <c r="F17" s="3"/>
      <c r="G17" s="181">
        <v>5</v>
      </c>
      <c r="H17" s="181">
        <f>(G17+I17)/2</f>
        <v>5</v>
      </c>
      <c r="I17" s="181">
        <v>5</v>
      </c>
    </row>
    <row r="18" spans="3:9" ht="17.149999999999999" customHeight="1" x14ac:dyDescent="0.35">
      <c r="C18" s="157"/>
      <c r="D18" s="61" t="s">
        <v>45</v>
      </c>
      <c r="E18" s="192" t="s">
        <v>28</v>
      </c>
      <c r="F18" s="3"/>
      <c r="G18" s="80">
        <v>6.0000000000000001E-3</v>
      </c>
      <c r="H18" s="80">
        <f>(G18+I18)/2</f>
        <v>6.0000000000000001E-3</v>
      </c>
      <c r="I18" s="80">
        <v>6.0000000000000001E-3</v>
      </c>
    </row>
    <row r="19" spans="3:9" ht="17.149999999999999" customHeight="1" x14ac:dyDescent="0.35">
      <c r="C19" s="157"/>
      <c r="D19" s="61" t="s">
        <v>46</v>
      </c>
      <c r="E19" s="192" t="s">
        <v>31</v>
      </c>
      <c r="F19" s="3"/>
      <c r="G19" s="80">
        <v>8.0000000000000002E-3</v>
      </c>
      <c r="H19" s="80">
        <f>(G19+I19)/2</f>
        <v>8.0000000000000002E-3</v>
      </c>
      <c r="I19" s="80">
        <v>8.0000000000000002E-3</v>
      </c>
    </row>
    <row r="20" spans="3:9" ht="17.149999999999999" customHeight="1" x14ac:dyDescent="0.35">
      <c r="C20" s="256">
        <v>1.5</v>
      </c>
      <c r="D20" s="156" t="s">
        <v>48</v>
      </c>
      <c r="E20" s="156"/>
      <c r="F20" s="3"/>
      <c r="G20" s="12"/>
      <c r="H20" s="36"/>
      <c r="I20" s="36"/>
    </row>
    <row r="21" spans="3:9" ht="17.149999999999999" customHeight="1" x14ac:dyDescent="0.35">
      <c r="C21" s="157"/>
      <c r="D21" s="61" t="s">
        <v>49</v>
      </c>
      <c r="E21" s="192" t="s">
        <v>25</v>
      </c>
      <c r="F21" s="3"/>
      <c r="G21" s="181">
        <v>5</v>
      </c>
      <c r="H21" s="181">
        <f>(G21+I21)/2</f>
        <v>5</v>
      </c>
      <c r="I21" s="181">
        <v>5</v>
      </c>
    </row>
    <row r="22" spans="3:9" ht="17.149999999999999" customHeight="1" x14ac:dyDescent="0.35">
      <c r="C22" s="157"/>
      <c r="D22" s="61" t="s">
        <v>50</v>
      </c>
      <c r="E22" s="192" t="s">
        <v>28</v>
      </c>
      <c r="F22" s="3"/>
      <c r="G22" s="80">
        <v>6.0000000000000001E-3</v>
      </c>
      <c r="H22" s="80">
        <f>(G22+I22)/2</f>
        <v>6.0000000000000001E-3</v>
      </c>
      <c r="I22" s="80">
        <v>6.0000000000000001E-3</v>
      </c>
    </row>
    <row r="23" spans="3:9" ht="17.149999999999999" customHeight="1" x14ac:dyDescent="0.35">
      <c r="C23" s="157"/>
      <c r="D23" s="61" t="s">
        <v>51</v>
      </c>
      <c r="E23" s="192" t="s">
        <v>31</v>
      </c>
      <c r="F23" s="3"/>
      <c r="G23" s="80">
        <v>8.0000000000000002E-3</v>
      </c>
      <c r="H23" s="80">
        <f>(G23+I23)/2</f>
        <v>8.0000000000000002E-3</v>
      </c>
      <c r="I23" s="80">
        <v>8.0000000000000002E-3</v>
      </c>
    </row>
    <row r="24" spans="3:9" ht="17.149999999999999" customHeight="1" x14ac:dyDescent="0.35">
      <c r="C24" s="256">
        <v>1.6</v>
      </c>
      <c r="D24" s="156" t="s">
        <v>53</v>
      </c>
      <c r="E24" s="156"/>
      <c r="F24" s="3"/>
      <c r="G24" s="12"/>
      <c r="H24" s="36"/>
      <c r="I24" s="36"/>
    </row>
    <row r="25" spans="3:9" ht="17.149999999999999" customHeight="1" x14ac:dyDescent="0.35">
      <c r="C25" s="157"/>
      <c r="D25" s="61" t="s">
        <v>54</v>
      </c>
      <c r="E25" s="192" t="s">
        <v>25</v>
      </c>
      <c r="F25" s="3"/>
      <c r="G25" s="181">
        <v>5</v>
      </c>
      <c r="H25" s="181">
        <f>(G25+I25)/2</f>
        <v>5</v>
      </c>
      <c r="I25" s="181">
        <v>5</v>
      </c>
    </row>
    <row r="26" spans="3:9" ht="17.149999999999999" customHeight="1" x14ac:dyDescent="0.35">
      <c r="C26" s="157"/>
      <c r="D26" s="61" t="s">
        <v>55</v>
      </c>
      <c r="E26" s="192" t="s">
        <v>28</v>
      </c>
      <c r="F26" s="3"/>
      <c r="G26" s="80">
        <v>6.0000000000000001E-3</v>
      </c>
      <c r="H26" s="80">
        <f>(G26+I26)/2</f>
        <v>6.0000000000000001E-3</v>
      </c>
      <c r="I26" s="80">
        <v>6.0000000000000001E-3</v>
      </c>
    </row>
    <row r="27" spans="3:9" ht="17.149999999999999" customHeight="1" x14ac:dyDescent="0.35">
      <c r="C27" s="157"/>
      <c r="D27" s="61" t="s">
        <v>56</v>
      </c>
      <c r="E27" s="192" t="s">
        <v>31</v>
      </c>
      <c r="F27" s="3"/>
      <c r="G27" s="80">
        <v>8.0000000000000002E-3</v>
      </c>
      <c r="H27" s="80">
        <f>(G27+I27)/2</f>
        <v>8.0000000000000002E-3</v>
      </c>
      <c r="I27" s="80">
        <v>8.0000000000000002E-3</v>
      </c>
    </row>
    <row r="28" spans="3:9" ht="17.149999999999999" customHeight="1" x14ac:dyDescent="0.35">
      <c r="C28" s="260">
        <v>1.7</v>
      </c>
      <c r="D28" s="156" t="s">
        <v>58</v>
      </c>
      <c r="E28" s="156"/>
      <c r="F28" s="3"/>
      <c r="G28" s="12"/>
      <c r="H28" s="36"/>
      <c r="I28" s="36"/>
    </row>
    <row r="29" spans="3:9" ht="17.149999999999999" customHeight="1" x14ac:dyDescent="0.35">
      <c r="C29" s="61"/>
      <c r="D29" s="61" t="s">
        <v>59</v>
      </c>
      <c r="E29" s="192" t="s">
        <v>25</v>
      </c>
      <c r="F29" s="3"/>
      <c r="G29" s="181">
        <v>5</v>
      </c>
      <c r="H29" s="181">
        <f>(G29+I29)/2</f>
        <v>5</v>
      </c>
      <c r="I29" s="181">
        <v>5</v>
      </c>
    </row>
    <row r="30" spans="3:9" ht="17.149999999999999" customHeight="1" x14ac:dyDescent="0.35">
      <c r="C30" s="61"/>
      <c r="D30" s="61" t="s">
        <v>60</v>
      </c>
      <c r="E30" s="192" t="s">
        <v>28</v>
      </c>
      <c r="F30" s="3"/>
      <c r="G30" s="194">
        <v>80</v>
      </c>
      <c r="H30" s="181">
        <f>(G30+I30)/2</f>
        <v>80</v>
      </c>
      <c r="I30" s="194">
        <v>80</v>
      </c>
    </row>
    <row r="31" spans="3:9" ht="17.149999999999999" customHeight="1" x14ac:dyDescent="0.35">
      <c r="C31" s="61"/>
      <c r="D31" s="61" t="s">
        <v>61</v>
      </c>
      <c r="E31" s="192" t="s">
        <v>31</v>
      </c>
      <c r="F31" s="3"/>
      <c r="G31" s="194">
        <v>90</v>
      </c>
      <c r="H31" s="181">
        <f>(G31+I31)/2</f>
        <v>90</v>
      </c>
      <c r="I31" s="194">
        <v>90</v>
      </c>
    </row>
    <row r="32" spans="3:9" ht="17.149999999999999" customHeight="1" x14ac:dyDescent="0.35">
      <c r="C32" s="260">
        <v>1.8</v>
      </c>
      <c r="D32" s="156" t="s">
        <v>63</v>
      </c>
      <c r="E32" s="158"/>
      <c r="F32" s="3"/>
      <c r="G32" s="12"/>
      <c r="H32" s="36"/>
      <c r="I32" s="36"/>
    </row>
    <row r="33" spans="2:9" ht="17.149999999999999" customHeight="1" x14ac:dyDescent="0.35">
      <c r="C33" s="61"/>
      <c r="D33" s="61" t="s">
        <v>64</v>
      </c>
      <c r="E33" s="192" t="s">
        <v>25</v>
      </c>
      <c r="F33" s="3"/>
      <c r="G33" s="181">
        <v>5</v>
      </c>
      <c r="H33" s="181">
        <f>(G33+I33)/2</f>
        <v>5</v>
      </c>
      <c r="I33" s="181">
        <v>5</v>
      </c>
    </row>
    <row r="34" spans="2:9" ht="17.149999999999999" customHeight="1" x14ac:dyDescent="0.35">
      <c r="C34" s="61"/>
      <c r="D34" s="61" t="s">
        <v>65</v>
      </c>
      <c r="E34" s="192" t="s">
        <v>28</v>
      </c>
      <c r="F34" s="3"/>
      <c r="G34" s="194">
        <v>80</v>
      </c>
      <c r="H34" s="181">
        <f>(G34+I34)/2</f>
        <v>80</v>
      </c>
      <c r="I34" s="194">
        <v>80</v>
      </c>
    </row>
    <row r="35" spans="2:9" ht="17.149999999999999" customHeight="1" x14ac:dyDescent="0.35">
      <c r="C35" s="61"/>
      <c r="D35" s="61" t="s">
        <v>66</v>
      </c>
      <c r="E35" s="192" t="s">
        <v>31</v>
      </c>
      <c r="F35" s="3"/>
      <c r="G35" s="194">
        <v>90</v>
      </c>
      <c r="H35" s="181">
        <f>(G35+I35)/2</f>
        <v>90</v>
      </c>
      <c r="I35" s="194">
        <v>90</v>
      </c>
    </row>
    <row r="36" spans="2:9" ht="17.149999999999999" customHeight="1" x14ac:dyDescent="0.35">
      <c r="C36" s="260">
        <v>1.9</v>
      </c>
      <c r="D36" s="156" t="s">
        <v>68</v>
      </c>
      <c r="E36" s="158"/>
      <c r="F36" s="3"/>
      <c r="G36" s="12"/>
      <c r="H36" s="36"/>
      <c r="I36" s="36"/>
    </row>
    <row r="37" spans="2:9" ht="17.149999999999999" customHeight="1" x14ac:dyDescent="0.35">
      <c r="C37" s="157"/>
      <c r="D37" s="61" t="s">
        <v>69</v>
      </c>
      <c r="E37" s="192" t="s">
        <v>25</v>
      </c>
      <c r="F37" s="3"/>
      <c r="G37" s="181">
        <v>5</v>
      </c>
      <c r="H37" s="181">
        <f>(G37+I37)/2</f>
        <v>5</v>
      </c>
      <c r="I37" s="181">
        <v>5</v>
      </c>
    </row>
    <row r="38" spans="2:9" ht="17.149999999999999" customHeight="1" x14ac:dyDescent="0.35">
      <c r="C38" s="61"/>
      <c r="D38" s="61" t="s">
        <v>70</v>
      </c>
      <c r="E38" s="192" t="s">
        <v>28</v>
      </c>
      <c r="F38" s="3"/>
      <c r="G38" s="194">
        <v>80</v>
      </c>
      <c r="H38" s="181">
        <f>(G38+I38)/2</f>
        <v>80</v>
      </c>
      <c r="I38" s="194">
        <v>80</v>
      </c>
    </row>
    <row r="39" spans="2:9" ht="17.149999999999999" customHeight="1" x14ac:dyDescent="0.35">
      <c r="C39" s="157"/>
      <c r="D39" s="61" t="s">
        <v>71</v>
      </c>
      <c r="E39" s="192" t="s">
        <v>31</v>
      </c>
      <c r="F39" s="3"/>
      <c r="G39" s="194">
        <v>90</v>
      </c>
      <c r="H39" s="181">
        <f>(G39+I39)/2</f>
        <v>90</v>
      </c>
      <c r="I39" s="194">
        <v>90</v>
      </c>
    </row>
    <row r="40" spans="2:9" ht="17.149999999999999" customHeight="1" x14ac:dyDescent="0.35">
      <c r="B40" s="183"/>
      <c r="C40" s="87"/>
      <c r="D40" s="3"/>
      <c r="E40" s="3"/>
      <c r="F40" s="3"/>
      <c r="G40" s="178"/>
      <c r="H40" s="178"/>
      <c r="I40" s="178"/>
    </row>
    <row r="41" spans="2:9" ht="17.149999999999999" customHeight="1" x14ac:dyDescent="0.4">
      <c r="B41" s="11">
        <v>2</v>
      </c>
      <c r="C41" s="252" t="s">
        <v>72</v>
      </c>
      <c r="D41" s="19"/>
      <c r="E41" s="17"/>
      <c r="F41" s="17"/>
    </row>
    <row r="42" spans="2:9" ht="17.149999999999999" customHeight="1" x14ac:dyDescent="0.4">
      <c r="B42" s="14">
        <v>1</v>
      </c>
      <c r="C42" s="78" t="s">
        <v>73</v>
      </c>
      <c r="D42" s="19"/>
      <c r="E42" s="17"/>
      <c r="F42" s="17"/>
    </row>
    <row r="43" spans="2:9" ht="17.149999999999999" customHeight="1" x14ac:dyDescent="0.35">
      <c r="B43" s="19"/>
      <c r="C43" s="68">
        <v>1.1000000000000001</v>
      </c>
      <c r="D43" s="77" t="s">
        <v>74</v>
      </c>
      <c r="E43" s="17"/>
      <c r="F43" s="17"/>
      <c r="G43" s="81">
        <v>0.01</v>
      </c>
      <c r="H43" s="81">
        <v>0.02</v>
      </c>
      <c r="I43" s="81">
        <v>0.03</v>
      </c>
    </row>
    <row r="44" spans="2:9" ht="17.149999999999999" customHeight="1" x14ac:dyDescent="0.35">
      <c r="B44" s="19"/>
      <c r="C44" s="68">
        <v>1.2</v>
      </c>
      <c r="D44" s="77" t="s">
        <v>75</v>
      </c>
      <c r="E44" s="17"/>
      <c r="F44" s="17"/>
      <c r="G44" s="82">
        <v>0.2</v>
      </c>
      <c r="H44" s="82">
        <v>0.22</v>
      </c>
      <c r="I44" s="82">
        <v>0.25</v>
      </c>
    </row>
    <row r="45" spans="2:9" ht="17.149999999999999" customHeight="1" x14ac:dyDescent="0.35">
      <c r="B45" s="19"/>
      <c r="C45" s="68">
        <v>1.3</v>
      </c>
      <c r="D45" s="77" t="s">
        <v>76</v>
      </c>
      <c r="E45" s="17"/>
      <c r="F45" s="17"/>
      <c r="G45" s="82">
        <v>7.0000000000000001E-3</v>
      </c>
      <c r="H45" s="82">
        <v>8.0000000000000002E-3</v>
      </c>
      <c r="I45" s="82">
        <v>0.01</v>
      </c>
    </row>
    <row r="46" spans="2:9" ht="17.149999999999999" customHeight="1" x14ac:dyDescent="0.35">
      <c r="B46" s="19"/>
      <c r="C46" s="262">
        <v>1.4</v>
      </c>
      <c r="D46" s="77" t="s">
        <v>77</v>
      </c>
      <c r="E46" s="17"/>
      <c r="F46" s="17"/>
      <c r="G46" s="82">
        <v>8.9999999999999993E-3</v>
      </c>
      <c r="H46" s="82">
        <v>0.01</v>
      </c>
      <c r="I46" s="82">
        <v>0.02</v>
      </c>
    </row>
    <row r="47" spans="2:9" ht="17.149999999999999" customHeight="1" x14ac:dyDescent="0.35">
      <c r="B47" s="19"/>
      <c r="C47" s="262">
        <v>1.5</v>
      </c>
      <c r="D47" s="77" t="s">
        <v>78</v>
      </c>
      <c r="E47" s="17"/>
      <c r="F47" s="17"/>
      <c r="G47" s="82">
        <v>0.28000000000000003</v>
      </c>
      <c r="H47" s="82">
        <v>0.3</v>
      </c>
      <c r="I47" s="82">
        <v>0.4</v>
      </c>
    </row>
    <row r="48" spans="2:9" ht="17.149999999999999" customHeight="1" x14ac:dyDescent="0.35">
      <c r="B48" s="19"/>
      <c r="C48" s="262">
        <v>1.6</v>
      </c>
      <c r="D48" s="77" t="s">
        <v>79</v>
      </c>
      <c r="E48" s="17"/>
      <c r="F48" s="17"/>
      <c r="G48" s="82">
        <v>0.6</v>
      </c>
      <c r="H48" s="82">
        <v>0.7</v>
      </c>
      <c r="I48" s="82">
        <v>0.8</v>
      </c>
    </row>
    <row r="49" spans="2:10" ht="17.149999999999999" customHeight="1" x14ac:dyDescent="0.35">
      <c r="B49" s="19"/>
      <c r="C49" s="262">
        <v>1.7</v>
      </c>
      <c r="D49" s="77" t="s">
        <v>80</v>
      </c>
      <c r="E49" s="17"/>
      <c r="F49" s="17"/>
      <c r="G49" s="82">
        <v>0.08</v>
      </c>
      <c r="H49" s="82">
        <v>0.09</v>
      </c>
      <c r="I49" s="82">
        <v>0.1</v>
      </c>
    </row>
    <row r="50" spans="2:10" ht="17.149999999999999" customHeight="1" x14ac:dyDescent="0.35">
      <c r="B50" s="19"/>
      <c r="C50" s="262">
        <v>1.8</v>
      </c>
      <c r="D50" s="77" t="s">
        <v>81</v>
      </c>
      <c r="E50" s="17"/>
      <c r="F50" s="17"/>
      <c r="G50" s="82">
        <v>0.11</v>
      </c>
      <c r="H50" s="82">
        <v>0.12</v>
      </c>
      <c r="I50" s="82">
        <v>0.13</v>
      </c>
    </row>
    <row r="51" spans="2:10" ht="17.149999999999999" customHeight="1" x14ac:dyDescent="0.4">
      <c r="B51" s="14">
        <v>2</v>
      </c>
      <c r="C51" s="78" t="s">
        <v>82</v>
      </c>
      <c r="D51" s="19"/>
      <c r="E51" s="17"/>
      <c r="F51" s="17"/>
    </row>
    <row r="52" spans="2:10" ht="17.149999999999999" customHeight="1" x14ac:dyDescent="0.35">
      <c r="B52" s="19"/>
      <c r="C52" s="256" t="s">
        <v>83</v>
      </c>
      <c r="D52" s="77" t="s">
        <v>84</v>
      </c>
      <c r="E52" s="17"/>
      <c r="F52" s="17"/>
      <c r="G52" s="81">
        <v>0.04</v>
      </c>
      <c r="H52" s="81">
        <v>0.05</v>
      </c>
      <c r="I52" s="81">
        <v>0.06</v>
      </c>
    </row>
    <row r="53" spans="2:10" ht="17.149999999999999" customHeight="1" x14ac:dyDescent="0.35">
      <c r="B53" s="19"/>
      <c r="C53" s="256" t="s">
        <v>85</v>
      </c>
      <c r="D53" s="77" t="s">
        <v>86</v>
      </c>
      <c r="E53" s="17"/>
      <c r="F53" s="17"/>
      <c r="G53" s="82">
        <v>0.04</v>
      </c>
      <c r="H53" s="82">
        <v>0.05</v>
      </c>
      <c r="I53" s="82">
        <v>0.06</v>
      </c>
    </row>
    <row r="54" spans="2:10" ht="17.149999999999999" customHeight="1" x14ac:dyDescent="0.35">
      <c r="B54" s="19"/>
      <c r="C54" s="256" t="s">
        <v>87</v>
      </c>
      <c r="D54" s="77" t="s">
        <v>88</v>
      </c>
      <c r="E54" s="17"/>
      <c r="F54" s="17"/>
      <c r="G54" s="82">
        <v>0.04</v>
      </c>
      <c r="H54" s="82">
        <v>0.05</v>
      </c>
      <c r="I54" s="82">
        <v>0.06</v>
      </c>
    </row>
    <row r="55" spans="2:10" ht="17.149999999999999" customHeight="1" x14ac:dyDescent="0.35">
      <c r="B55" s="19"/>
      <c r="C55" s="306">
        <v>2.4</v>
      </c>
      <c r="D55" s="184" t="s">
        <v>330</v>
      </c>
      <c r="E55" s="17"/>
      <c r="F55" s="17"/>
      <c r="G55" s="82">
        <v>7.0000000000000007E-2</v>
      </c>
      <c r="H55" s="82">
        <v>0.08</v>
      </c>
      <c r="I55" s="82">
        <v>0.09</v>
      </c>
    </row>
    <row r="56" spans="2:10" ht="17.149999999999999" customHeight="1" x14ac:dyDescent="0.35">
      <c r="B56" s="19"/>
      <c r="C56" s="256" t="s">
        <v>93</v>
      </c>
      <c r="D56" s="77" t="s">
        <v>94</v>
      </c>
      <c r="E56" s="17"/>
      <c r="F56" s="17"/>
      <c r="G56" s="82">
        <v>8.0000000000000002E-3</v>
      </c>
      <c r="H56" s="82">
        <v>8.9999999999999993E-3</v>
      </c>
      <c r="I56" s="82">
        <v>0.01</v>
      </c>
    </row>
    <row r="57" spans="2:10" ht="17.149999999999999" customHeight="1" x14ac:dyDescent="0.3">
      <c r="B57" s="19"/>
      <c r="C57" s="256" t="s">
        <v>91</v>
      </c>
      <c r="D57" s="85" t="s">
        <v>92</v>
      </c>
      <c r="E57" s="17"/>
      <c r="F57" s="17"/>
      <c r="G57" s="82">
        <v>8.0000000000000002E-3</v>
      </c>
      <c r="H57" s="82">
        <v>8.9999999999999993E-3</v>
      </c>
      <c r="I57" s="82">
        <v>0.02</v>
      </c>
    </row>
    <row r="58" spans="2:10" ht="17.149999999999999" customHeight="1" x14ac:dyDescent="0.35">
      <c r="B58" s="19"/>
      <c r="C58" s="256" t="s">
        <v>95</v>
      </c>
      <c r="D58" s="77" t="s">
        <v>96</v>
      </c>
      <c r="E58" s="17"/>
      <c r="F58" s="17"/>
      <c r="G58" s="82">
        <v>0.9</v>
      </c>
      <c r="H58" s="82">
        <v>0.95</v>
      </c>
      <c r="I58" s="82">
        <v>1</v>
      </c>
    </row>
    <row r="59" spans="2:10" ht="17.149999999999999" customHeight="1" x14ac:dyDescent="0.3">
      <c r="B59" s="17"/>
      <c r="C59" s="307"/>
      <c r="D59" s="51"/>
      <c r="E59" s="17"/>
      <c r="F59" s="17"/>
      <c r="G59" s="168"/>
      <c r="H59" s="168"/>
      <c r="I59" s="168"/>
      <c r="J59" s="308"/>
    </row>
    <row r="60" spans="2:10" ht="17.149999999999999" customHeight="1" x14ac:dyDescent="0.3">
      <c r="B60" s="112">
        <v>5</v>
      </c>
      <c r="C60" s="275" t="s">
        <v>239</v>
      </c>
      <c r="D60" s="12"/>
      <c r="E60" s="12"/>
    </row>
    <row r="61" spans="2:10" ht="17.149999999999999" customHeight="1" x14ac:dyDescent="0.3">
      <c r="B61" s="20">
        <v>1</v>
      </c>
      <c r="C61" s="260" t="s">
        <v>240</v>
      </c>
      <c r="D61" s="12"/>
      <c r="E61" s="12"/>
      <c r="G61" s="309">
        <v>2</v>
      </c>
      <c r="H61" s="309">
        <v>3</v>
      </c>
      <c r="I61" s="309">
        <v>4</v>
      </c>
    </row>
    <row r="62" spans="2:10" ht="17.149999999999999" customHeight="1" x14ac:dyDescent="0.3">
      <c r="B62" s="20">
        <v>2</v>
      </c>
      <c r="C62" s="279" t="s">
        <v>241</v>
      </c>
      <c r="D62" s="12"/>
      <c r="E62" s="12"/>
    </row>
    <row r="63" spans="2:10" ht="17.149999999999999" customHeight="1" x14ac:dyDescent="0.3">
      <c r="B63" s="17"/>
      <c r="C63" s="260">
        <v>2.1</v>
      </c>
      <c r="D63" s="16" t="s">
        <v>242</v>
      </c>
      <c r="E63" s="12"/>
      <c r="G63" s="70">
        <v>2</v>
      </c>
      <c r="H63" s="70">
        <v>3</v>
      </c>
      <c r="I63" s="70">
        <v>4</v>
      </c>
    </row>
    <row r="64" spans="2:10" ht="17.149999999999999" customHeight="1" x14ac:dyDescent="0.3">
      <c r="B64" s="17"/>
      <c r="C64" s="260">
        <v>2.2000000000000002</v>
      </c>
      <c r="D64" s="16" t="s">
        <v>243</v>
      </c>
      <c r="E64" s="12"/>
      <c r="G64" s="70">
        <v>4</v>
      </c>
      <c r="H64" s="70">
        <v>6</v>
      </c>
      <c r="I64" s="70">
        <v>8</v>
      </c>
    </row>
    <row r="65" spans="2:9" ht="18" customHeight="1" x14ac:dyDescent="0.3">
      <c r="B65" s="112">
        <v>6</v>
      </c>
      <c r="C65" s="275" t="s">
        <v>245</v>
      </c>
      <c r="D65" s="1"/>
      <c r="E65" s="1"/>
    </row>
    <row r="66" spans="2:9" ht="17.5" customHeight="1" x14ac:dyDescent="0.3">
      <c r="B66" s="20">
        <v>4</v>
      </c>
      <c r="C66" s="283" t="s">
        <v>250</v>
      </c>
      <c r="D66" s="1"/>
      <c r="E66" s="1"/>
      <c r="G66" s="37">
        <v>10</v>
      </c>
      <c r="H66" s="37">
        <v>30</v>
      </c>
      <c r="I66" s="37">
        <v>55</v>
      </c>
    </row>
    <row r="67" spans="2:9" ht="20.5" customHeight="1" x14ac:dyDescent="0.4">
      <c r="B67" s="11">
        <v>8</v>
      </c>
      <c r="C67" s="231" t="s">
        <v>273</v>
      </c>
    </row>
    <row r="68" spans="2:9" ht="16.5" customHeight="1" x14ac:dyDescent="0.3">
      <c r="B68" s="48">
        <v>1</v>
      </c>
      <c r="C68" s="217" t="s">
        <v>274</v>
      </c>
      <c r="D68" s="3"/>
      <c r="E68" s="3"/>
    </row>
    <row r="69" spans="2:9" ht="16.5" customHeight="1" x14ac:dyDescent="0.35">
      <c r="B69" s="15"/>
      <c r="C69" s="16" t="s">
        <v>20</v>
      </c>
      <c r="D69" s="132" t="s">
        <v>275</v>
      </c>
      <c r="E69" s="12"/>
      <c r="G69" s="120">
        <v>3</v>
      </c>
      <c r="H69" s="120">
        <f>(G68+I68)/2</f>
        <v>0</v>
      </c>
      <c r="I69" s="120">
        <v>7</v>
      </c>
    </row>
    <row r="70" spans="2:9" ht="16.5" customHeight="1" x14ac:dyDescent="0.35">
      <c r="B70" s="15"/>
      <c r="C70" s="16" t="s">
        <v>32</v>
      </c>
      <c r="D70" s="132" t="s">
        <v>277</v>
      </c>
      <c r="E70" s="12"/>
      <c r="G70" s="120">
        <v>2</v>
      </c>
      <c r="H70" s="120">
        <f>(G69+I69)/2</f>
        <v>5</v>
      </c>
      <c r="I70" s="120">
        <v>8</v>
      </c>
    </row>
    <row r="71" spans="2:9" ht="20" customHeight="1" x14ac:dyDescent="0.35">
      <c r="B71" s="15"/>
      <c r="C71" s="16" t="s">
        <v>37</v>
      </c>
      <c r="D71" s="132" t="s">
        <v>278</v>
      </c>
      <c r="E71" s="12"/>
      <c r="G71" s="120">
        <v>1</v>
      </c>
      <c r="H71" s="120">
        <f>(G70+I70)/2</f>
        <v>5</v>
      </c>
      <c r="I71" s="120">
        <v>5</v>
      </c>
    </row>
    <row r="72" spans="2:9" ht="16.5" customHeight="1" x14ac:dyDescent="0.3">
      <c r="B72" s="48">
        <v>2</v>
      </c>
      <c r="C72" s="217" t="s">
        <v>279</v>
      </c>
      <c r="D72" s="12"/>
      <c r="E72" s="12"/>
      <c r="G72" s="185"/>
      <c r="H72" s="185"/>
      <c r="I72" s="185"/>
    </row>
    <row r="73" spans="2:9" ht="16.5" customHeight="1" x14ac:dyDescent="0.35">
      <c r="B73" s="15"/>
      <c r="C73" s="16" t="s">
        <v>83</v>
      </c>
      <c r="D73" s="289" t="s">
        <v>280</v>
      </c>
      <c r="E73" s="12"/>
      <c r="G73" s="186">
        <v>1000</v>
      </c>
      <c r="H73" s="186">
        <f>(G72+I72)/2</f>
        <v>0</v>
      </c>
      <c r="I73" s="186">
        <v>2890</v>
      </c>
    </row>
    <row r="74" spans="2:9" ht="16.5" customHeight="1" x14ac:dyDescent="0.35">
      <c r="B74" s="15"/>
      <c r="C74" s="16" t="s">
        <v>85</v>
      </c>
      <c r="D74" s="289" t="s">
        <v>281</v>
      </c>
      <c r="E74" s="12"/>
      <c r="G74" s="310">
        <v>100</v>
      </c>
      <c r="H74" s="310">
        <f>(G73+I73)/2</f>
        <v>1945</v>
      </c>
      <c r="I74" s="310">
        <v>777</v>
      </c>
    </row>
    <row r="75" spans="2:9" ht="16.5" customHeight="1" x14ac:dyDescent="0.35">
      <c r="B75" s="15"/>
      <c r="C75" s="16" t="s">
        <v>87</v>
      </c>
      <c r="D75" s="289" t="s">
        <v>283</v>
      </c>
      <c r="E75" s="12"/>
      <c r="G75" s="187">
        <v>1</v>
      </c>
      <c r="H75" s="187">
        <f>(G74+I74)/2</f>
        <v>438.5</v>
      </c>
      <c r="I75" s="187">
        <v>9</v>
      </c>
    </row>
    <row r="76" spans="2:9" ht="16.5" customHeight="1" x14ac:dyDescent="0.35">
      <c r="B76" s="141"/>
      <c r="C76" s="232" t="s">
        <v>89</v>
      </c>
      <c r="D76" s="290" t="s">
        <v>284</v>
      </c>
      <c r="G76" s="310">
        <v>1</v>
      </c>
      <c r="H76" s="310">
        <f>(G75+I75)/2</f>
        <v>5</v>
      </c>
      <c r="I76" s="310">
        <v>9</v>
      </c>
    </row>
    <row r="77" spans="2:9" ht="16.5" customHeight="1" x14ac:dyDescent="0.35">
      <c r="B77" s="141"/>
      <c r="C77" s="232" t="s">
        <v>91</v>
      </c>
      <c r="D77" s="290" t="s">
        <v>285</v>
      </c>
      <c r="G77" s="310">
        <v>1</v>
      </c>
      <c r="H77" s="310">
        <f>(G76+I76)/2</f>
        <v>5</v>
      </c>
      <c r="I77" s="310">
        <v>9</v>
      </c>
    </row>
    <row r="78" spans="2:9" ht="20" customHeight="1" x14ac:dyDescent="0.25">
      <c r="B78" s="188"/>
      <c r="C78" s="188"/>
      <c r="G78" s="189"/>
      <c r="H78" s="189"/>
      <c r="I78" s="189"/>
    </row>
    <row r="79" spans="2:9" ht="16.5" customHeight="1" x14ac:dyDescent="0.25">
      <c r="B79" s="233">
        <v>3</v>
      </c>
      <c r="C79" s="226" t="s">
        <v>286</v>
      </c>
      <c r="G79" s="189"/>
      <c r="H79" s="189"/>
      <c r="I79" s="189"/>
    </row>
    <row r="80" spans="2:9" ht="16.5" customHeight="1" x14ac:dyDescent="0.35">
      <c r="B80" s="141"/>
      <c r="C80" s="232" t="s">
        <v>287</v>
      </c>
      <c r="D80" s="290" t="s">
        <v>288</v>
      </c>
      <c r="G80" s="310">
        <v>1</v>
      </c>
      <c r="H80" s="310">
        <f>(G79+I79)/2</f>
        <v>0</v>
      </c>
      <c r="I80" s="310">
        <v>9</v>
      </c>
    </row>
    <row r="81" spans="2:9" ht="16.5" customHeight="1" x14ac:dyDescent="0.35">
      <c r="B81" s="141"/>
      <c r="C81" s="232" t="s">
        <v>289</v>
      </c>
      <c r="D81" s="290" t="s">
        <v>290</v>
      </c>
      <c r="G81" s="310">
        <v>1</v>
      </c>
      <c r="H81" s="310">
        <f>(G80+I80)/2</f>
        <v>5</v>
      </c>
      <c r="I81" s="310">
        <v>9</v>
      </c>
    </row>
    <row r="82" spans="2:9" ht="16.5" customHeight="1" x14ac:dyDescent="0.35">
      <c r="B82" s="141"/>
      <c r="C82" s="232" t="s">
        <v>291</v>
      </c>
      <c r="D82" s="290" t="s">
        <v>292</v>
      </c>
      <c r="G82" s="190">
        <v>-0.06</v>
      </c>
      <c r="H82" s="191">
        <f>(G81+I81)/2</f>
        <v>5</v>
      </c>
      <c r="I82" s="191">
        <v>0.6</v>
      </c>
    </row>
    <row r="83" spans="2:9" ht="16.5" customHeight="1" x14ac:dyDescent="0.35">
      <c r="B83" s="141"/>
      <c r="C83" s="232" t="s">
        <v>293</v>
      </c>
      <c r="D83" s="290" t="s">
        <v>294</v>
      </c>
      <c r="G83" s="190">
        <v>-0.44</v>
      </c>
      <c r="H83" s="191">
        <f>(G82+I82)/2</f>
        <v>0.27</v>
      </c>
      <c r="I83" s="191">
        <v>0.6</v>
      </c>
    </row>
    <row r="84" spans="2:9" ht="16.5" customHeight="1" x14ac:dyDescent="0.35">
      <c r="B84" s="141"/>
      <c r="C84" s="232" t="s">
        <v>295</v>
      </c>
      <c r="D84" s="290" t="s">
        <v>296</v>
      </c>
      <c r="G84" s="190">
        <v>0.34</v>
      </c>
      <c r="H84" s="191">
        <f>(G83+I83)/2</f>
        <v>7.9999999999999988E-2</v>
      </c>
      <c r="I84" s="191">
        <v>0.6</v>
      </c>
    </row>
  </sheetData>
  <dataValidations count="3">
    <dataValidation allowBlank="1" showInputMessage="1" showErrorMessage="1" error="ספרות בלבד" sqref="H68:H70" xr:uid="{00000000-0002-0000-0100-000000000000}"/>
    <dataValidation showInputMessage="1" showErrorMessage="1" error="ספרות בלבד" sqref="H72:H76 H79:H83" xr:uid="{00000000-0002-0000-0100-000001000000}"/>
    <dataValidation type="decimal" allowBlank="1" showInputMessage="1" showErrorMessage="1" error="ספרות בלבד" sqref="G5:G7 G9:G11 G13:G15 G17:G19 G21:G23 G25:G27 G29:G31 G33:G35 G37:G39 I5:I7 I9:I11 I13:I15 I17:I19 I21:I23 I25:I27 I29:I31 I33:I35 I37:I39" xr:uid="{00000000-0002-0000-0100-000002000000}">
      <formula1>0</formula1>
      <formula2>9999999</formula2>
    </dataValidation>
  </dataValidations>
  <pageMargins left="0.19685039370078741" right="0.19685039370078741" top="0" bottom="0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Shacham;NTAnalyze@gmail.com</dc:creator>
  <cp:lastModifiedBy>A1416</cp:lastModifiedBy>
  <cp:lastPrinted>2021-03-10T19:55:54Z</cp:lastPrinted>
  <dcterms:created xsi:type="dcterms:W3CDTF">2020-10-31T12:51:46Z</dcterms:created>
  <dcterms:modified xsi:type="dcterms:W3CDTF">2026-09-16T14:45:15Z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5373b877-94e6-4414-aa49-a49933b3367b</vt:lpwstr>
  </property>
</Properties>
</file>