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ki\Desktop\Macro-N\"/>
    </mc:Choice>
  </mc:AlternateContent>
  <xr:revisionPtr revIDLastSave="0" documentId="13_ncr:1_{10607663-602D-4CCA-9C52-4F0A66EF02D9}" xr6:coauthVersionLast="47" xr6:coauthVersionMax="47" xr10:uidLastSave="{00000000-0000-0000-0000-000000000000}"/>
  <bookViews>
    <workbookView xWindow="-110" yWindow="-110" windowWidth="19420" windowHeight="11620" activeTab="1" xr2:uid="{00000000-000D-0000-FFFF-FFFF00000000}"/>
  </bookViews>
  <sheets>
    <sheet name="Main" sheetId="1" r:id="rId1"/>
    <sheet name="Normaliz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98" i="2" l="1"/>
  <c r="H97" i="2"/>
  <c r="H96" i="2"/>
  <c r="H95" i="2"/>
  <c r="H94" i="2"/>
  <c r="H91" i="2"/>
  <c r="H90" i="2"/>
  <c r="H89" i="2"/>
  <c r="H88" i="2"/>
  <c r="H87" i="2"/>
  <c r="H84" i="2"/>
  <c r="H83" i="2"/>
  <c r="H82" i="2"/>
  <c r="H79" i="2"/>
  <c r="H76" i="2"/>
  <c r="H75" i="2"/>
  <c r="H73" i="2"/>
  <c r="H70" i="2"/>
  <c r="H69" i="2"/>
  <c r="H67" i="2"/>
  <c r="H66" i="2"/>
  <c r="H62" i="2"/>
  <c r="H57" i="2"/>
  <c r="H56" i="2"/>
  <c r="H55" i="2"/>
  <c r="H54" i="2"/>
  <c r="H53" i="2"/>
  <c r="H52" i="2"/>
  <c r="H51" i="2"/>
  <c r="H50" i="2"/>
  <c r="H49" i="2"/>
  <c r="H48" i="2"/>
  <c r="H45" i="2"/>
  <c r="H44" i="2"/>
  <c r="H43" i="2"/>
  <c r="H41" i="2"/>
  <c r="H40" i="2"/>
  <c r="H39" i="2"/>
  <c r="H37" i="2"/>
  <c r="H36" i="2"/>
  <c r="H35" i="2"/>
  <c r="H33" i="2"/>
  <c r="H32" i="2"/>
  <c r="H31" i="2"/>
  <c r="H29" i="2"/>
  <c r="H28" i="2"/>
  <c r="H27" i="2"/>
  <c r="H25" i="2"/>
  <c r="H24" i="2"/>
  <c r="H23" i="2"/>
  <c r="H21" i="2"/>
  <c r="H20" i="2"/>
  <c r="H19" i="2"/>
  <c r="H17" i="2"/>
  <c r="H16" i="2"/>
  <c r="H15" i="2"/>
  <c r="H13" i="2"/>
  <c r="H12" i="2"/>
  <c r="H11" i="2"/>
  <c r="H9" i="2"/>
  <c r="H8" i="2"/>
  <c r="H7" i="2"/>
  <c r="K231" i="1"/>
  <c r="K230" i="1"/>
  <c r="K229" i="1"/>
  <c r="K228" i="1"/>
  <c r="K227" i="1"/>
  <c r="I226" i="1"/>
  <c r="K224" i="1"/>
  <c r="K223" i="1"/>
  <c r="K222" i="1"/>
  <c r="K221" i="1"/>
  <c r="K220" i="1"/>
  <c r="I219" i="1"/>
  <c r="K217" i="1"/>
  <c r="K216" i="1"/>
  <c r="K215" i="1"/>
  <c r="I214" i="1"/>
  <c r="K211" i="1"/>
  <c r="K210" i="1"/>
  <c r="K209" i="1"/>
  <c r="K208" i="1"/>
  <c r="K206" i="1"/>
  <c r="K205" i="1"/>
  <c r="K204" i="1"/>
  <c r="K203" i="1"/>
  <c r="I202" i="1"/>
  <c r="K200" i="1"/>
  <c r="K199" i="1"/>
  <c r="K198" i="1"/>
  <c r="K197" i="1"/>
  <c r="I196" i="1"/>
  <c r="I195" i="1"/>
  <c r="K193" i="1"/>
  <c r="K192" i="1"/>
  <c r="K191" i="1"/>
  <c r="K190" i="1"/>
  <c r="K189" i="1"/>
  <c r="I188" i="1"/>
  <c r="I16" i="1" s="1"/>
  <c r="K186" i="1"/>
  <c r="K185" i="1"/>
  <c r="K184" i="1"/>
  <c r="K182" i="1"/>
  <c r="I181" i="1"/>
  <c r="I14" i="1" s="1"/>
  <c r="K179" i="1"/>
  <c r="K174" i="1"/>
  <c r="K173" i="1"/>
  <c r="K172" i="1"/>
  <c r="K171" i="1"/>
  <c r="K170" i="1"/>
  <c r="K169" i="1"/>
  <c r="K168" i="1"/>
  <c r="K167" i="1"/>
  <c r="K166" i="1"/>
  <c r="K165" i="1"/>
  <c r="I164" i="1"/>
  <c r="I177" i="1" s="1"/>
  <c r="K163" i="1"/>
  <c r="K162" i="1"/>
  <c r="K161" i="1"/>
  <c r="K160" i="1"/>
  <c r="K159" i="1"/>
  <c r="K158" i="1"/>
  <c r="K157" i="1"/>
  <c r="K156" i="1"/>
  <c r="K155" i="1"/>
  <c r="K154" i="1"/>
  <c r="I153" i="1"/>
  <c r="K152" i="1"/>
  <c r="K151" i="1"/>
  <c r="K150" i="1"/>
  <c r="K149" i="1"/>
  <c r="K148" i="1"/>
  <c r="K147" i="1"/>
  <c r="K146" i="1"/>
  <c r="K145" i="1"/>
  <c r="K144" i="1"/>
  <c r="K143" i="1"/>
  <c r="I142" i="1"/>
  <c r="I108" i="1" s="1"/>
  <c r="K141" i="1"/>
  <c r="K140" i="1"/>
  <c r="K139" i="1"/>
  <c r="K138" i="1"/>
  <c r="K137" i="1"/>
  <c r="K136" i="1"/>
  <c r="K135" i="1"/>
  <c r="K134" i="1"/>
  <c r="K133" i="1"/>
  <c r="K132" i="1"/>
  <c r="I131" i="1"/>
  <c r="K130" i="1"/>
  <c r="K129" i="1"/>
  <c r="K128" i="1"/>
  <c r="P127" i="1"/>
  <c r="K127" i="1"/>
  <c r="K126" i="1"/>
  <c r="K125" i="1"/>
  <c r="K124" i="1"/>
  <c r="K123" i="1"/>
  <c r="K122" i="1"/>
  <c r="K121" i="1"/>
  <c r="I120" i="1"/>
  <c r="K119" i="1"/>
  <c r="K118" i="1"/>
  <c r="K117" i="1"/>
  <c r="K116" i="1"/>
  <c r="K115" i="1"/>
  <c r="K114" i="1"/>
  <c r="K113" i="1"/>
  <c r="K112" i="1"/>
  <c r="K111" i="1"/>
  <c r="K110" i="1"/>
  <c r="I109" i="1"/>
  <c r="K106" i="1"/>
  <c r="K105" i="1"/>
  <c r="K104" i="1"/>
  <c r="I103" i="1"/>
  <c r="K101" i="1"/>
  <c r="K100" i="1"/>
  <c r="K99" i="1"/>
  <c r="K98" i="1"/>
  <c r="I97" i="1"/>
  <c r="K93" i="1"/>
  <c r="K92" i="1"/>
  <c r="K91" i="1"/>
  <c r="K90" i="1"/>
  <c r="K89" i="1"/>
  <c r="K88" i="1"/>
  <c r="K87" i="1"/>
  <c r="I86" i="1"/>
  <c r="K84" i="1"/>
  <c r="K83" i="1"/>
  <c r="K82" i="1"/>
  <c r="K81" i="1"/>
  <c r="K80" i="1"/>
  <c r="K79" i="1"/>
  <c r="K78" i="1"/>
  <c r="K77" i="1"/>
  <c r="K76" i="1"/>
  <c r="K75" i="1"/>
  <c r="I74" i="1"/>
  <c r="K72" i="1"/>
  <c r="K71" i="1"/>
  <c r="K70" i="1"/>
  <c r="I69" i="1"/>
  <c r="K68" i="1"/>
  <c r="K67" i="1"/>
  <c r="K66" i="1"/>
  <c r="I65" i="1"/>
  <c r="K64" i="1"/>
  <c r="K63" i="1"/>
  <c r="K62" i="1"/>
  <c r="I61" i="1"/>
  <c r="K60" i="1"/>
  <c r="K59" i="1"/>
  <c r="K58" i="1"/>
  <c r="I57" i="1"/>
  <c r="K56" i="1"/>
  <c r="K55" i="1"/>
  <c r="K54" i="1"/>
  <c r="I53" i="1"/>
  <c r="K52" i="1"/>
  <c r="K51" i="1"/>
  <c r="K50" i="1"/>
  <c r="I49" i="1"/>
  <c r="K48" i="1"/>
  <c r="K47" i="1"/>
  <c r="K46" i="1"/>
  <c r="I45" i="1"/>
  <c r="K44" i="1"/>
  <c r="K43" i="1"/>
  <c r="P42" i="1"/>
  <c r="K42" i="1"/>
  <c r="I41" i="1"/>
  <c r="K40" i="1"/>
  <c r="K39" i="1"/>
  <c r="K38" i="1"/>
  <c r="I37" i="1"/>
  <c r="K36" i="1"/>
  <c r="K35" i="1"/>
  <c r="K34" i="1"/>
  <c r="I33" i="1"/>
  <c r="C22" i="1"/>
  <c r="I18" i="1"/>
  <c r="C18" i="1"/>
  <c r="C16" i="1"/>
  <c r="C14" i="1"/>
  <c r="C12" i="1"/>
  <c r="C10" i="1"/>
  <c r="I213" i="1" l="1"/>
  <c r="I22" i="1" s="1"/>
  <c r="I32" i="1"/>
  <c r="I30" i="1" s="1"/>
  <c r="I8" i="1" s="1"/>
  <c r="I95" i="1"/>
  <c r="I10" i="1"/>
  <c r="I178" i="1"/>
  <c r="I176" i="1" s="1"/>
  <c r="I12" i="1" s="1"/>
  <c r="I6" i="1" l="1"/>
</calcChain>
</file>

<file path=xl/sharedStrings.xml><?xml version="1.0" encoding="utf-8"?>
<sst xmlns="http://schemas.openxmlformats.org/spreadsheetml/2006/main" count="877" uniqueCount="426">
  <si>
    <t>Ver.#1</t>
  </si>
  <si>
    <t>אביזרי מסיבות</t>
  </si>
  <si>
    <t>חברות פעילות בתחום</t>
  </si>
  <si>
    <t>טט</t>
  </si>
  <si>
    <t>החברה</t>
  </si>
  <si>
    <t>________</t>
  </si>
  <si>
    <t xml:space="preserve">מתוך </t>
  </si>
  <si>
    <t>חברות במערכת</t>
  </si>
  <si>
    <t>Website &amp; Service improvement Guide</t>
  </si>
  <si>
    <t>ככל ששטח המצולע גדול
יותר - החברה איכותית יותר. 
להגדלת התרשים - עמדו עליו:</t>
  </si>
  <si>
    <t>המלצות לשיפור האתר, השירות והמותג
מהות ההמלצות לעדכון הפרמטרים הינה מקסימיזציה יחסית בהשוואה למיטבי מבין כלל אתרי תחום הפעילות ובכך לשדרג את מיקום האתר בדירוג הרייטינג הכולל והיחסי שלו</t>
  </si>
  <si>
    <t>דירוג הרייטינג היחסי הכולל</t>
  </si>
  <si>
    <t xml:space="preserve"> &gt;</t>
  </si>
  <si>
    <t>ככל שהדירוגים בעמודה גבוהים יותר - החברה איכותית יותר</t>
  </si>
  <si>
    <t>מדדים תעריפיים</t>
  </si>
  <si>
    <t>מדדים תעריפיים (כולל מע"מ)</t>
  </si>
  <si>
    <t xml:space="preserve">דירוג משוקלל מנורמל &gt;  </t>
  </si>
  <si>
    <t>1</t>
  </si>
  <si>
    <t>איזור סניף /ים</t>
  </si>
  <si>
    <t>כן=5 / לא=0</t>
  </si>
  <si>
    <t>מדגם מחירים (פריט שאינו נמכר, המחיר=999)</t>
  </si>
  <si>
    <t>&lt;&lt;</t>
  </si>
  <si>
    <t>צפון</t>
  </si>
  <si>
    <t>בלונים</t>
  </si>
  <si>
    <t>&lt;</t>
  </si>
  <si>
    <t>הערות /הבהרות למשתנים</t>
  </si>
  <si>
    <t>חיפה והקריות</t>
  </si>
  <si>
    <t>1.1.1</t>
  </si>
  <si>
    <t>מספר מחירונים זמינים</t>
  </si>
  <si>
    <t>N</t>
  </si>
  <si>
    <t>שרון</t>
  </si>
  <si>
    <t>1.1.2</t>
  </si>
  <si>
    <t>מחיר מזערי במחירונים</t>
  </si>
  <si>
    <t>NV</t>
  </si>
  <si>
    <t>מרכז</t>
  </si>
  <si>
    <t>1.1.3</t>
  </si>
  <si>
    <t>מחיר מירבי במחירונים</t>
  </si>
  <si>
    <t>גוש דן</t>
  </si>
  <si>
    <t>כובעים</t>
  </si>
  <si>
    <t>ירושלים</t>
  </si>
  <si>
    <t>1.2.1</t>
  </si>
  <si>
    <t>איו"ש</t>
  </si>
  <si>
    <t>1.2.2</t>
  </si>
  <si>
    <t>שפלה</t>
  </si>
  <si>
    <t>1.2.3</t>
  </si>
  <si>
    <t>דרום</t>
  </si>
  <si>
    <t>משקפיים</t>
  </si>
  <si>
    <t>אילת</t>
  </si>
  <si>
    <t>1.3.1</t>
  </si>
  <si>
    <t>1.3.2</t>
  </si>
  <si>
    <t>1.3.3</t>
  </si>
  <si>
    <t>שרשראות</t>
  </si>
  <si>
    <t>1.4.1</t>
  </si>
  <si>
    <t>2</t>
  </si>
  <si>
    <t>1.4.2</t>
  </si>
  <si>
    <t>ישובי סניף /ים /שליחויות /שירות</t>
  </si>
  <si>
    <t>איזור</t>
  </si>
  <si>
    <t>1.4.3</t>
  </si>
  <si>
    <t>בית שאן</t>
  </si>
  <si>
    <t>קונפטי</t>
  </si>
  <si>
    <t>טבריה</t>
  </si>
  <si>
    <t>1.5.1</t>
  </si>
  <si>
    <t>טירת כרמל</t>
  </si>
  <si>
    <t>1.5.2</t>
  </si>
  <si>
    <t>טמרה</t>
  </si>
  <si>
    <t>1.5.3</t>
  </si>
  <si>
    <t>יקנעם עילית</t>
  </si>
  <si>
    <t>ספריי שלג</t>
  </si>
  <si>
    <t>כרמיאל</t>
  </si>
  <si>
    <t>1.6.1</t>
  </si>
  <si>
    <t>מגדל העמק</t>
  </si>
  <si>
    <t>1.6.2</t>
  </si>
  <si>
    <t>מעלות- תרשיחא</t>
  </si>
  <si>
    <t>1.6.3</t>
  </si>
  <si>
    <t>נהריה</t>
  </si>
  <si>
    <t>מתנפחים</t>
  </si>
  <si>
    <t>נוף הגליל</t>
  </si>
  <si>
    <t>1.7.1</t>
  </si>
  <si>
    <t>נצרת</t>
  </si>
  <si>
    <t>1.7.2</t>
  </si>
  <si>
    <t>נשר</t>
  </si>
  <si>
    <t>1.7.3</t>
  </si>
  <si>
    <t>סח'נין</t>
  </si>
  <si>
    <t>דגלים</t>
  </si>
  <si>
    <t>עכו</t>
  </si>
  <si>
    <t>1.8.1</t>
  </si>
  <si>
    <t>עפולה</t>
  </si>
  <si>
    <t>1.8.2</t>
  </si>
  <si>
    <t>עראבה</t>
  </si>
  <si>
    <t>1.8.3</t>
  </si>
  <si>
    <t>צפת</t>
  </si>
  <si>
    <t>צמידים</t>
  </si>
  <si>
    <t>שפרעם</t>
  </si>
  <si>
    <t>1.9.1</t>
  </si>
  <si>
    <t>קריית שמונה</t>
  </si>
  <si>
    <t>1.9.2</t>
  </si>
  <si>
    <t>חיפה</t>
  </si>
  <si>
    <t>1.9.3</t>
  </si>
  <si>
    <t>קריית אתא</t>
  </si>
  <si>
    <t>מסכות</t>
  </si>
  <si>
    <t>קריית ביאליק</t>
  </si>
  <si>
    <t>1.10.1</t>
  </si>
  <si>
    <t>קריית ים</t>
  </si>
  <si>
    <t>1.10.2</t>
  </si>
  <si>
    <t>קריית מוצקין</t>
  </si>
  <si>
    <t>1.10.3</t>
  </si>
  <si>
    <t>הוד השרון</t>
  </si>
  <si>
    <t>אום אל-פחם</t>
  </si>
  <si>
    <t>מחירי ואזורי שליחויות (במחוז העדר פעילות מלאה /חלקית המחיר=999)</t>
  </si>
  <si>
    <t>אור עקיבא</t>
  </si>
  <si>
    <t>1.1</t>
  </si>
  <si>
    <t>באקה אל-גרבייה</t>
  </si>
  <si>
    <t>1.2</t>
  </si>
  <si>
    <t>חדרה</t>
  </si>
  <si>
    <t>1.3</t>
  </si>
  <si>
    <t>טייבה</t>
  </si>
  <si>
    <t>1.4</t>
  </si>
  <si>
    <t>טירה</t>
  </si>
  <si>
    <t>3</t>
  </si>
  <si>
    <t>1.5</t>
  </si>
  <si>
    <t>גוש-דן</t>
  </si>
  <si>
    <t>כפר יונה</t>
  </si>
  <si>
    <t>1.6</t>
  </si>
  <si>
    <t>כפר סבא</t>
  </si>
  <si>
    <t>1.7</t>
  </si>
  <si>
    <t>כפר קאסם</t>
  </si>
  <si>
    <t>1.8</t>
  </si>
  <si>
    <t>נתניה</t>
  </si>
  <si>
    <t>1.9</t>
  </si>
  <si>
    <t>קלנסווה</t>
  </si>
  <si>
    <t>1.10</t>
  </si>
  <si>
    <t>רעננה</t>
  </si>
  <si>
    <t>אלעד</t>
  </si>
  <si>
    <t>אמצעי תשלום ואשראי זמינים</t>
  </si>
  <si>
    <t>אור יהודה</t>
  </si>
  <si>
    <t>העברות</t>
  </si>
  <si>
    <t>באר יעקב</t>
  </si>
  <si>
    <t>פייפאל</t>
  </si>
  <si>
    <t>גבעת שמואל</t>
  </si>
  <si>
    <t>אפליקציות תשלומים</t>
  </si>
  <si>
    <t>יהוד-מונוסון</t>
  </si>
  <si>
    <t>4</t>
  </si>
  <si>
    <t>ביטקוין</t>
  </si>
  <si>
    <t>פתח תקווה</t>
  </si>
  <si>
    <t>כרטיסי אשראי</t>
  </si>
  <si>
    <t>קריית אונו</t>
  </si>
  <si>
    <t>כרטיסי חיוב ישיר</t>
  </si>
  <si>
    <t>ראש העין</t>
  </si>
  <si>
    <t>פריסה ל- 12 תשלומים לפחות ללא ריבית בכל אמצעי התשלום</t>
  </si>
  <si>
    <t>רמת השרון</t>
  </si>
  <si>
    <t>בני ברק</t>
  </si>
  <si>
    <t>ערכיות רב-שכבתית</t>
  </si>
  <si>
    <t>בת ים</t>
  </si>
  <si>
    <t>גבעתיים</t>
  </si>
  <si>
    <t>שקיפות וגילוי נאות</t>
  </si>
  <si>
    <t>הרצליה</t>
  </si>
  <si>
    <t>מחירון מפורט מלא באתר לכל מוצר</t>
  </si>
  <si>
    <t>חולון</t>
  </si>
  <si>
    <t>5</t>
  </si>
  <si>
    <t>כל מוצר מלווה באתר בתמונה</t>
  </si>
  <si>
    <t>רמת גן</t>
  </si>
  <si>
    <t>כל מוצר מלווה במפרט טכני מלא</t>
  </si>
  <si>
    <t>תל אביב-יפו</t>
  </si>
  <si>
    <t>כל המוצרים באתר מצויים במלאי</t>
  </si>
  <si>
    <t>בית שמש</t>
  </si>
  <si>
    <t>6</t>
  </si>
  <si>
    <t>שירות האונליין</t>
  </si>
  <si>
    <t>אריאל</t>
  </si>
  <si>
    <t>כולל את מלוא מוצרי הרשת שבמכירה פיזית</t>
  </si>
  <si>
    <t>ביתר עילית</t>
  </si>
  <si>
    <t>7</t>
  </si>
  <si>
    <t>מחיר הפריטים אינו עולה על המחיר ברשת הפיזית</t>
  </si>
  <si>
    <t>מודיעין עילית</t>
  </si>
  <si>
    <t>זמן אספקה מירבי מובטח של הזמנת שליחות (ימי עסקים)</t>
  </si>
  <si>
    <t>מעלה אדומים</t>
  </si>
  <si>
    <t>אשדוד</t>
  </si>
  <si>
    <t>מאפייני הפעילות</t>
  </si>
  <si>
    <t>&lt;&lt;&lt;</t>
  </si>
  <si>
    <t>אשקלון</t>
  </si>
  <si>
    <t>2.1</t>
  </si>
  <si>
    <t>המוצרים הזמינים</t>
  </si>
  <si>
    <t>3.1.1</t>
  </si>
  <si>
    <t>יבנה</t>
  </si>
  <si>
    <t>3.1.2</t>
  </si>
  <si>
    <t>לוד</t>
  </si>
  <si>
    <t>3.1.3</t>
  </si>
  <si>
    <t>מודיעין- מכבים- רעות</t>
  </si>
  <si>
    <t>8</t>
  </si>
  <si>
    <t>3.1.4</t>
  </si>
  <si>
    <t>נס ציונה</t>
  </si>
  <si>
    <t>3.1.5</t>
  </si>
  <si>
    <t>קריית גת</t>
  </si>
  <si>
    <t>3.1.6</t>
  </si>
  <si>
    <t>קריית מלאכי</t>
  </si>
  <si>
    <t>3.1.7</t>
  </si>
  <si>
    <t>ראשון לציון</t>
  </si>
  <si>
    <t>3.1.8</t>
  </si>
  <si>
    <t>רחובות</t>
  </si>
  <si>
    <t>3.1.9</t>
  </si>
  <si>
    <t>רמלה</t>
  </si>
  <si>
    <t>3.1.10</t>
  </si>
  <si>
    <t>תיאום הגעה מהיר</t>
  </si>
  <si>
    <t>אופקים</t>
  </si>
  <si>
    <t>2.2</t>
  </si>
  <si>
    <t>מחוייבות למאפייני המוצרים</t>
  </si>
  <si>
    <t>באר שבע</t>
  </si>
  <si>
    <t>3.2.1</t>
  </si>
  <si>
    <t>זוהר</t>
  </si>
  <si>
    <t>דימונה</t>
  </si>
  <si>
    <t>3.2.2</t>
  </si>
  <si>
    <t>מהבהב</t>
  </si>
  <si>
    <t>נתיבות</t>
  </si>
  <si>
    <t>9</t>
  </si>
  <si>
    <t>3.2.3</t>
  </si>
  <si>
    <t>מתנפח</t>
  </si>
  <si>
    <t>ערד</t>
  </si>
  <si>
    <t>3.2.4</t>
  </si>
  <si>
    <t>חד-פעמי</t>
  </si>
  <si>
    <t>רהט</t>
  </si>
  <si>
    <t>3.2.5</t>
  </si>
  <si>
    <t>צבעוני</t>
  </si>
  <si>
    <t>שדרות</t>
  </si>
  <si>
    <t>3.2.6</t>
  </si>
  <si>
    <t>מותאם-גיל</t>
  </si>
  <si>
    <t>10</t>
  </si>
  <si>
    <t>3.2.7</t>
  </si>
  <si>
    <t>בטיחותי</t>
  </si>
  <si>
    <t>3.2.8</t>
  </si>
  <si>
    <t>ממותג</t>
  </si>
  <si>
    <t>3.2.9</t>
  </si>
  <si>
    <t>אקולוגי</t>
  </si>
  <si>
    <t>3.2.10</t>
  </si>
  <si>
    <t>עמידות</t>
  </si>
  <si>
    <t>2.3</t>
  </si>
  <si>
    <t>התחייבות לעמידה מלאה וקבועה ברגולציה, חוקים, תקנות ותקנים</t>
  </si>
  <si>
    <t>3.3.1</t>
  </si>
  <si>
    <t>חוק-רישוי-עסקים</t>
  </si>
  <si>
    <t>3.3.2</t>
  </si>
  <si>
    <t>חוק-בטיחות-במקומות-ציבוריים</t>
  </si>
  <si>
    <t>3.3.3</t>
  </si>
  <si>
    <t>צו-רישוי-עסקים</t>
  </si>
  <si>
    <t>3.3.4</t>
  </si>
  <si>
    <t>תקן-ישראלי-5688</t>
  </si>
  <si>
    <t>3.3.5</t>
  </si>
  <si>
    <t>נהלי-כבאות</t>
  </si>
  <si>
    <t>3.3.6</t>
  </si>
  <si>
    <t>נהלי-מד"א</t>
  </si>
  <si>
    <t>3.3.7</t>
  </si>
  <si>
    <t>תקן-צעצועים</t>
  </si>
  <si>
    <t>3.3.8</t>
  </si>
  <si>
    <t>תקן-חומרים</t>
  </si>
  <si>
    <t>3.3.9</t>
  </si>
  <si>
    <t>תקן-אריזה</t>
  </si>
  <si>
    <t>3.3.10</t>
  </si>
  <si>
    <t>תקן-שיווק​</t>
  </si>
  <si>
    <t>2.4</t>
  </si>
  <si>
    <t>התחייבות להקפדה אקולוגית רציפה</t>
  </si>
  <si>
    <t>3.4.1</t>
  </si>
  <si>
    <t>חומר-מתכלה</t>
  </si>
  <si>
    <t>3.4.2</t>
  </si>
  <si>
    <t>אריזה-ממוחזרת</t>
  </si>
  <si>
    <t>3.4.3</t>
  </si>
  <si>
    <t>שימוש-חוזר</t>
  </si>
  <si>
    <t>3.4.4</t>
  </si>
  <si>
    <t>הפחתת-פלסטיק</t>
  </si>
  <si>
    <t>3.4.5</t>
  </si>
  <si>
    <t>איסוף-פסולת</t>
  </si>
  <si>
    <t>3.4.6</t>
  </si>
  <si>
    <t>חומרים-טבעיים</t>
  </si>
  <si>
    <t>3.4.7</t>
  </si>
  <si>
    <t>ייצור-ירוק</t>
  </si>
  <si>
    <t>3.4.8</t>
  </si>
  <si>
    <t>הפחתת-פליטות</t>
  </si>
  <si>
    <t>3.4.9</t>
  </si>
  <si>
    <t>עמידות-מוצר</t>
  </si>
  <si>
    <t>3.4.10</t>
  </si>
  <si>
    <t>תו-ירוק​</t>
  </si>
  <si>
    <t>2.5</t>
  </si>
  <si>
    <t>התחייבות להקפדה אתית רציפה</t>
  </si>
  <si>
    <t>3.5.1</t>
  </si>
  <si>
    <t>שקיפות-מחיר</t>
  </si>
  <si>
    <t>3.5.2</t>
  </si>
  <si>
    <t>ייצוג-הולם</t>
  </si>
  <si>
    <t>3.5.3</t>
  </si>
  <si>
    <t>הימנעות-מגזענות</t>
  </si>
  <si>
    <t>3.5.4</t>
  </si>
  <si>
    <t>הימנעות-מגדריות</t>
  </si>
  <si>
    <t>3.5.5</t>
  </si>
  <si>
    <t>בטיחות-שימוש</t>
  </si>
  <si>
    <t>3.5.6</t>
  </si>
  <si>
    <t>הימנעות-מהטעיה</t>
  </si>
  <si>
    <t>3.5.7</t>
  </si>
  <si>
    <t>הגנת-צרכן</t>
  </si>
  <si>
    <t>3.5.8</t>
  </si>
  <si>
    <t>הימנעות-מניצול</t>
  </si>
  <si>
    <t>3.5.9</t>
  </si>
  <si>
    <t>הוגנות-מסחרית</t>
  </si>
  <si>
    <t>3.5.10</t>
  </si>
  <si>
    <t>אחריות-חברתית​</t>
  </si>
  <si>
    <t>2.6</t>
  </si>
  <si>
    <t>יכולות ייחודיות /חריגות זמינות קבוע</t>
  </si>
  <si>
    <t>3.6.1</t>
  </si>
  <si>
    <t>עיצוב-מותאם</t>
  </si>
  <si>
    <t>3.6.2</t>
  </si>
  <si>
    <t>ייצור-בלעדי</t>
  </si>
  <si>
    <t>3.6.3</t>
  </si>
  <si>
    <t>שילוב-טכנולוגיה</t>
  </si>
  <si>
    <t>3.6.4</t>
  </si>
  <si>
    <t>שירות-מותאם</t>
  </si>
  <si>
    <t>3.6.5</t>
  </si>
  <si>
    <t>זמינות-מלאי</t>
  </si>
  <si>
    <t>3.6.6</t>
  </si>
  <si>
    <t>קו-מוצרים-חדשני</t>
  </si>
  <si>
    <t>3.6.7</t>
  </si>
  <si>
    <t>שיתופי-פעולה</t>
  </si>
  <si>
    <t>3.6.8</t>
  </si>
  <si>
    <t>קונספט-ייחודי</t>
  </si>
  <si>
    <t>3.6.9</t>
  </si>
  <si>
    <t>שירות-מהיר</t>
  </si>
  <si>
    <t>3.6.10</t>
  </si>
  <si>
    <t>התאמה-תרבותית​</t>
  </si>
  <si>
    <t>גודל ופריסה</t>
  </si>
  <si>
    <t xml:space="preserve">דירוג משוקלל  מנורמל &gt;  </t>
  </si>
  <si>
    <t>דירוג הייחודיות היחסית</t>
  </si>
  <si>
    <t>&gt;</t>
  </si>
  <si>
    <t>דירוג המגוון הכללי</t>
  </si>
  <si>
    <t>שנת תחילת הפעילות הרשמית של החברה בתחום</t>
  </si>
  <si>
    <t>רמת שירות וממשקים</t>
  </si>
  <si>
    <t>זמן תגובה לפניות בצור קשר /תמיכה של האתר (שעות)</t>
  </si>
  <si>
    <t>זמן המתנה ממוצע למענה טלפוני של המוקד</t>
  </si>
  <si>
    <t>בשעות הפעילות (דקות)</t>
  </si>
  <si>
    <t>מעבר לשעות הפעילות (דקות)</t>
  </si>
  <si>
    <t>באתר החברה שפת /ות ממשק בנוסף לעברית</t>
  </si>
  <si>
    <t>אמינות ושקיפות</t>
  </si>
  <si>
    <t>אמינות ודיוק בדיווח האתר למערכת "רייטינג"</t>
  </si>
  <si>
    <t>0-5</t>
  </si>
  <si>
    <t>דירוג שקיפות החברה והאתר</t>
  </si>
  <si>
    <t>קיום מחירון מלא ומפורט באתר האינטרנט</t>
  </si>
  <si>
    <t>מספר המדדים הנשאבים אוטומטית מהאתר</t>
  </si>
  <si>
    <t>המדיניות אינה מתירה ואין מבוצעת מחיקה /שינוי חוות דעת משתמשים</t>
  </si>
  <si>
    <t>סייבר ושמירת פרטיות</t>
  </si>
  <si>
    <t>שמירת פרטיות הגולשים</t>
  </si>
  <si>
    <t xml:space="preserve">דירוג משוקלל  &gt;  </t>
  </si>
  <si>
    <t>באתר אין כל תצוגה גלויה המאפשרת צפיה בפעילות כלשהי של הגולשים באתר</t>
  </si>
  <si>
    <t>אין באתר שידול גולשים לרכישת מוצר /שירות /שדרוג וכיוב'</t>
  </si>
  <si>
    <t>באתר וברשומותיו לא מבוצע ניתוח נתוני גולשים לשם דיוור /פרסום /מכירת מידע</t>
  </si>
  <si>
    <t>כל מידע אודות הגולשים אינו מועבר או נמכר לגורמים שלישיים</t>
  </si>
  <si>
    <t>אבטחת סייבר ומידע הגולשים</t>
  </si>
  <si>
    <t>החברה פועלת בהתאם ל'תורת הגנת מערך הסייבר, של מערך הסייבר הלאומי</t>
  </si>
  <si>
    <t>לחברה מנהל מידע שאינו בעל תפקיד אחר</t>
  </si>
  <si>
    <t>לאתר החברה תקן ISO 27001</t>
  </si>
  <si>
    <t xml:space="preserve">לאתר החברה תקן SOC 2 </t>
  </si>
  <si>
    <t>ססמאות משתמשים</t>
  </si>
  <si>
    <t>2.5.1</t>
  </si>
  <si>
    <t>קיום אימות דו שלבי</t>
  </si>
  <si>
    <t>2.5.2</t>
  </si>
  <si>
    <t>קיום מניעת הזנת הזנת ססמאות פשוטות</t>
  </si>
  <si>
    <t>2.5.3</t>
  </si>
  <si>
    <t>קיום חיוב תדיר להחלפת סיסמאות</t>
  </si>
  <si>
    <t>2.5.4</t>
  </si>
  <si>
    <t>קיום הגבלת מספר ניסיונות כניסה עם סיסמא שגויה</t>
  </si>
  <si>
    <t>נוכחות דיגיטלית</t>
  </si>
  <si>
    <t>ביצועי האתר - מהירות גלישה (ישראל)</t>
  </si>
  <si>
    <t>צבע תוכן ראשון (FCP) - שניות</t>
  </si>
  <si>
    <t>NVT</t>
  </si>
  <si>
    <t>שינוי פריסה מצטבר (CLS)</t>
  </si>
  <si>
    <t xml:space="preserve"> אינטראקציה לצביעה הבאה (INP) - מילישניות</t>
  </si>
  <si>
    <t>דירוג המקובלות ברשת</t>
  </si>
  <si>
    <t>פופולריות יחסית לתחום הפעילות (ישראל)</t>
  </si>
  <si>
    <t>מספר ביקורים חודשי - אלפים</t>
  </si>
  <si>
    <t>NT</t>
  </si>
  <si>
    <t>משך שהיה ממוצע באתר - דקות</t>
  </si>
  <si>
    <t>קישורים נכנסים לאתר - Backlinks - אלפים</t>
  </si>
  <si>
    <t>הפניות לאתר - Refferings - אלפים</t>
  </si>
  <si>
    <t>נוכחות בדיגיטל ובתקשורת</t>
  </si>
  <si>
    <t>3.1</t>
  </si>
  <si>
    <t>אזכורים ברשתות החברתיות - Engagements - אלפים</t>
  </si>
  <si>
    <t>3.2</t>
  </si>
  <si>
    <t>אזכורים בתקשורת - אלפים</t>
  </si>
  <si>
    <t>3.3</t>
  </si>
  <si>
    <t>מוניטין דיגיטלי - Digital Reputation - %</t>
  </si>
  <si>
    <t>3.4</t>
  </si>
  <si>
    <t>טרנדיות - Trends - %</t>
  </si>
  <si>
    <t>3.5</t>
  </si>
  <si>
    <t>ביקורות ודירוגים - Reviews - %</t>
  </si>
  <si>
    <t>שם + משפחה:</t>
  </si>
  <si>
    <t>אבג</t>
  </si>
  <si>
    <t>תאריך:</t>
  </si>
  <si>
    <t>dd/mm/yy</t>
  </si>
  <si>
    <t>תפקיד:</t>
  </si>
  <si>
    <t>דהו</t>
  </si>
  <si>
    <t>שעה:</t>
  </si>
  <si>
    <t>tt:tt</t>
  </si>
  <si>
    <t>אימות נתוני האתר /החברה (במותגים: המותג)</t>
  </si>
  <si>
    <t>שם אתר /חברה (/מותג):</t>
  </si>
  <si>
    <t>כתובת אינטרנט:</t>
  </si>
  <si>
    <t>כתובת אימייל:</t>
  </si>
  <si>
    <t>שעות פתיחה (לסימון סגור /אין קבלת קהל - השעה: 00:00)</t>
  </si>
  <si>
    <t>כתובת צור קשר:</t>
  </si>
  <si>
    <t>א' עד ה'</t>
  </si>
  <si>
    <t>ו'</t>
  </si>
  <si>
    <t>שבת</t>
  </si>
  <si>
    <t>מספר טלפון:</t>
  </si>
  <si>
    <t>משעה</t>
  </si>
  <si>
    <t>עד שעה</t>
  </si>
  <si>
    <t>כתובת ראשית:</t>
  </si>
  <si>
    <t>רחוב</t>
  </si>
  <si>
    <t>מספר</t>
  </si>
  <si>
    <t>ישוב</t>
  </si>
  <si>
    <t>טלפון</t>
  </si>
  <si>
    <t>פרמטרים לנירמול</t>
  </si>
  <si>
    <t>MIN</t>
  </si>
  <si>
    <t>AVR</t>
  </si>
  <si>
    <t>MAX</t>
  </si>
  <si>
    <t>מאפייני המוצרים והשירותים</t>
  </si>
  <si>
    <t>2.2.3</t>
  </si>
  <si>
    <t>מאפייני המוצרים והשירותים הזמינים ברשת ובמלאי</t>
  </si>
  <si>
    <t>תיקים</t>
  </si>
  <si>
    <t>2.2.1</t>
  </si>
  <si>
    <t>מספר מותגים שוננים</t>
  </si>
  <si>
    <t>2.2.2</t>
  </si>
  <si>
    <t>מספר דגמים שונים</t>
  </si>
  <si>
    <t>ארנקים</t>
  </si>
  <si>
    <t>2.3.1</t>
  </si>
  <si>
    <t>מספר מותגים</t>
  </si>
  <si>
    <t>2.3.2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</si>
</sst>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₪&quot;\ #,##0.00"/>
    <numFmt numFmtId="165" formatCode="#,##0.0"/>
    <numFmt numFmtId="166" formatCode="&quot;₪&quot;\ #,##0"/>
    <numFmt numFmtId="167" formatCode="[$-1000000]h:mm;@"/>
    <numFmt numFmtId="168" formatCode="[$-1010000]d/m/yy;@"/>
    <numFmt numFmtId="169" formatCode="0.0"/>
  </numFmts>
  <fonts count="84" x14ac:knownFonts="1">
    <font>
      <sz val="11"/>
      <color theme="1"/>
      <name val="Arial"/>
      <family val="2"/>
      <charset val="177"/>
      <scheme val="minor"/>
    </font>
    <font>
      <sz val="13"/>
      <color theme="1"/>
      <name val="Arial"/>
      <family val="2"/>
      <charset val="177"/>
      <scheme val="minor"/>
    </font>
    <font>
      <sz val="10"/>
      <color theme="1"/>
      <name val="Arial"/>
      <family val="2"/>
      <scheme val="minor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3"/>
      <color theme="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b/>
      <i/>
      <u/>
      <sz val="18"/>
      <color theme="1"/>
      <name val="Arial"/>
      <family val="2"/>
    </font>
    <font>
      <sz val="9"/>
      <color theme="1"/>
      <name val="Arial"/>
      <family val="2"/>
    </font>
    <font>
      <u/>
      <sz val="13"/>
      <color theme="1"/>
      <name val="Arial"/>
      <family val="2"/>
    </font>
    <font>
      <sz val="10"/>
      <color theme="1"/>
      <name val="Arial"/>
      <family val="2"/>
    </font>
    <font>
      <b/>
      <sz val="11"/>
      <color rgb="FF000099"/>
      <name val="Arial"/>
      <family val="2"/>
    </font>
    <font>
      <sz val="11"/>
      <color rgb="FF000099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Arial"/>
      <family val="2"/>
    </font>
    <font>
      <b/>
      <sz val="18"/>
      <color theme="1"/>
      <name val="Arial"/>
      <family val="2"/>
    </font>
    <font>
      <b/>
      <i/>
      <sz val="14"/>
      <color theme="1"/>
      <name val="Arial"/>
      <family val="2"/>
    </font>
    <font>
      <sz val="14"/>
      <color theme="1"/>
      <name val="Arial"/>
      <family val="2"/>
    </font>
    <font>
      <b/>
      <sz val="11"/>
      <name val="Arial"/>
      <family val="2"/>
    </font>
    <font>
      <sz val="12"/>
      <color theme="1"/>
      <name val="Arial"/>
      <family val="2"/>
      <charset val="177"/>
      <scheme val="minor"/>
    </font>
    <font>
      <b/>
      <sz val="14"/>
      <color theme="1"/>
      <name val="Arial"/>
      <family val="2"/>
      <scheme val="minor"/>
    </font>
    <font>
      <sz val="18"/>
      <color theme="1"/>
      <name val="Arial"/>
      <family val="2"/>
    </font>
    <font>
      <b/>
      <i/>
      <sz val="18"/>
      <color theme="1"/>
      <name val="Arial"/>
      <family val="2"/>
    </font>
    <font>
      <sz val="12"/>
      <name val="Arial"/>
      <family val="2"/>
    </font>
    <font>
      <b/>
      <u/>
      <sz val="13"/>
      <color theme="1"/>
      <name val="Arial"/>
      <family val="2"/>
    </font>
    <font>
      <b/>
      <i/>
      <u/>
      <sz val="14"/>
      <color theme="1"/>
      <name val="Arial"/>
      <family val="2"/>
    </font>
    <font>
      <b/>
      <i/>
      <sz val="20"/>
      <color theme="0"/>
      <name val="Arial"/>
      <family val="2"/>
    </font>
    <font>
      <b/>
      <sz val="12"/>
      <name val="Arial"/>
      <family val="2"/>
    </font>
    <font>
      <b/>
      <i/>
      <sz val="18"/>
      <color theme="0"/>
      <name val="Arial"/>
      <family val="2"/>
    </font>
    <font>
      <b/>
      <sz val="16"/>
      <color rgb="FF000099"/>
      <name val="Arial"/>
      <family val="2"/>
    </font>
    <font>
      <b/>
      <sz val="20"/>
      <color theme="1"/>
      <name val="Arial"/>
      <family val="2"/>
    </font>
    <font>
      <b/>
      <i/>
      <u/>
      <sz val="20"/>
      <color theme="1"/>
      <name val="Arial"/>
      <family val="2"/>
    </font>
    <font>
      <u/>
      <sz val="11"/>
      <color theme="10"/>
      <name val="Arial"/>
      <family val="2"/>
      <charset val="177"/>
      <scheme val="minor"/>
    </font>
    <font>
      <b/>
      <sz val="12"/>
      <color theme="1"/>
      <name val="Arial"/>
      <family val="2"/>
      <scheme val="minor"/>
    </font>
    <font>
      <b/>
      <sz val="13"/>
      <color theme="1"/>
      <name val="Arial"/>
      <family val="2"/>
      <scheme val="minor"/>
    </font>
    <font>
      <b/>
      <u/>
      <sz val="12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i/>
      <sz val="14"/>
      <color theme="5" tint="-0.249977111117893"/>
      <name val="Arial"/>
      <family val="2"/>
    </font>
    <font>
      <b/>
      <i/>
      <sz val="22"/>
      <color theme="1"/>
      <name val="Arial"/>
      <family val="2"/>
    </font>
    <font>
      <b/>
      <i/>
      <sz val="16"/>
      <color theme="0"/>
      <name val="Arial"/>
      <family val="2"/>
    </font>
    <font>
      <b/>
      <i/>
      <sz val="14"/>
      <color theme="0"/>
      <name val="Arial"/>
      <family val="2"/>
    </font>
    <font>
      <b/>
      <i/>
      <sz val="12"/>
      <color theme="0"/>
      <name val="Arial"/>
      <family val="2"/>
    </font>
    <font>
      <b/>
      <u/>
      <sz val="14"/>
      <color theme="1"/>
      <name val="Arial"/>
      <family val="2"/>
    </font>
    <font>
      <b/>
      <i/>
      <u/>
      <sz val="16"/>
      <color theme="1"/>
      <name val="Arial"/>
      <family val="2"/>
    </font>
    <font>
      <sz val="12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u/>
      <sz val="13"/>
      <color theme="1"/>
      <name val="Arial"/>
      <family val="2"/>
      <scheme val="minor"/>
    </font>
    <font>
      <sz val="13"/>
      <color theme="1"/>
      <name val="Arial"/>
      <family val="2"/>
      <scheme val="minor"/>
    </font>
    <font>
      <b/>
      <u/>
      <sz val="13"/>
      <name val="Arial"/>
      <family val="2"/>
      <scheme val="minor"/>
    </font>
    <font>
      <sz val="13"/>
      <name val="Arial"/>
      <family val="2"/>
      <scheme val="minor"/>
    </font>
    <font>
      <b/>
      <u/>
      <sz val="12"/>
      <name val="Arial"/>
      <family val="2"/>
      <scheme val="minor"/>
    </font>
    <font>
      <b/>
      <sz val="12"/>
      <color theme="5" tint="-0.249977111117893"/>
      <name val="Arial"/>
      <family val="2"/>
    </font>
    <font>
      <sz val="12"/>
      <color rgb="FF000099"/>
      <name val="Arial"/>
      <family val="2"/>
    </font>
    <font>
      <sz val="11"/>
      <name val="Arial"/>
      <family val="2"/>
      <charset val="177"/>
    </font>
    <font>
      <b/>
      <i/>
      <sz val="10"/>
      <color theme="0"/>
      <name val="Arial"/>
      <family val="2"/>
    </font>
    <font>
      <b/>
      <i/>
      <sz val="11"/>
      <color rgb="FF7030A0"/>
      <name val="Arial"/>
      <family val="2"/>
    </font>
    <font>
      <b/>
      <i/>
      <sz val="16"/>
      <color theme="1"/>
      <name val="Arial"/>
      <family val="2"/>
    </font>
    <font>
      <sz val="18"/>
      <color rgb="FF000099"/>
      <name val="Arial"/>
      <family val="2"/>
    </font>
    <font>
      <sz val="14"/>
      <color rgb="FF000099"/>
      <name val="Arial"/>
      <family val="2"/>
    </font>
    <font>
      <b/>
      <u/>
      <sz val="14"/>
      <color rgb="FF000000"/>
      <name val="Arial"/>
      <family val="2"/>
    </font>
    <font>
      <sz val="11"/>
      <color rgb="FF000000"/>
      <name val="Arial"/>
      <family val="2"/>
    </font>
    <font>
      <sz val="12"/>
      <color rgb="FF000000"/>
      <name val="Arial"/>
      <family val="2"/>
    </font>
    <font>
      <sz val="13"/>
      <color rgb="FF000000"/>
      <name val="Arial"/>
      <family val="2"/>
    </font>
    <font>
      <b/>
      <sz val="13"/>
      <color rgb="FF000000"/>
      <name val="Arial"/>
      <family val="2"/>
    </font>
    <font>
      <sz val="13"/>
      <color rgb="FFA6A6A6"/>
      <name val="Arial"/>
      <family val="2"/>
    </font>
    <font>
      <b/>
      <i/>
      <u/>
      <sz val="16"/>
      <color rgb="FF000000"/>
      <name val="Arial"/>
      <family val="2"/>
    </font>
    <font>
      <sz val="13"/>
      <name val="Arial"/>
      <family val="2"/>
    </font>
    <font>
      <sz val="10"/>
      <name val="Arial"/>
      <family val="2"/>
      <charset val="177"/>
      <scheme val="minor"/>
    </font>
    <font>
      <sz val="10"/>
      <name val="Arial"/>
      <family val="2"/>
      <scheme val="minor"/>
    </font>
    <font>
      <b/>
      <sz val="16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sz val="12"/>
      <name val="Calibri"/>
      <family val="2"/>
    </font>
    <font>
      <b/>
      <sz val="11"/>
      <name val="Arial"/>
      <family val="2"/>
    </font>
    <font>
      <b/>
      <sz val="13"/>
      <name val="Calibri"/>
      <family val="2"/>
    </font>
    <font>
      <sz val="13"/>
      <color rgb="FFFF0000"/>
      <name val="Arial"/>
      <family val="2"/>
      <scheme val="minor"/>
    </font>
    <font>
      <u/>
      <sz val="13"/>
      <color rgb="FFFF0000"/>
      <name val="Arial"/>
      <family val="2"/>
      <scheme val="minor"/>
    </font>
    <font>
      <i/>
      <u/>
      <sz val="16"/>
      <color rgb="FF000000"/>
      <name val="Arial"/>
      <family val="2"/>
    </font>
    <font>
      <i/>
      <u/>
      <sz val="16"/>
      <name val="Arial"/>
      <family val="2"/>
    </font>
    <font>
      <sz val="14"/>
      <name val="Arial"/>
      <family val="2"/>
    </font>
    <font>
      <b/>
      <sz val="15.4"/>
      <color rgb="FF000000"/>
      <name val="Arial"/>
    </font>
    <font>
      <sz val="11"/>
      <name val="Arial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7FEBA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5FBC8"/>
        <bgColor indexed="64"/>
      </patternFill>
    </fill>
    <fill>
      <patternFill patternType="solid">
        <fgColor rgb="FFC5FF8B"/>
        <bgColor indexed="64"/>
      </patternFill>
    </fill>
    <fill>
      <patternFill patternType="solid">
        <fgColor rgb="FFD1F9A9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5FAB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C7FEBA"/>
        <bgColor rgb="FFC7FEBA"/>
      </patternFill>
    </fill>
    <fill>
      <patternFill patternType="solid">
        <fgColor rgb="FFDEEBF6"/>
      </patternFill>
    </fill>
    <fill>
      <patternFill patternType="solid">
        <fgColor rgb="FFFFF3CB"/>
      </patternFill>
    </fill>
  </fills>
  <borders count="4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/>
      <diagonal/>
    </border>
    <border>
      <left style="medium">
        <color auto="1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medium">
        <color auto="1"/>
      </right>
      <top style="medium">
        <color rgb="FF000000"/>
      </top>
      <bottom style="medium">
        <color rgb="FF000000"/>
      </bottom>
      <diagonal/>
    </border>
    <border>
      <left style="medium">
        <color auto="1"/>
      </left>
      <right style="thin">
        <color rgb="FF000000"/>
      </right>
      <top style="medium">
        <color auto="1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rgb="FF000000"/>
      </bottom>
      <diagonal/>
    </border>
    <border>
      <left style="thin">
        <color rgb="FF000000"/>
      </left>
      <right style="medium">
        <color auto="1"/>
      </right>
      <top style="medium">
        <color auto="1"/>
      </top>
      <bottom style="medium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indexed="64"/>
      </left>
      <right style="thin">
        <color indexed="64"/>
      </right>
      <top style="dashed">
        <color rgb="FF000000"/>
      </top>
      <bottom style="thin">
        <color indexed="64"/>
      </bottom>
      <diagonal/>
    </border>
    <border>
      <left/>
      <right/>
      <top/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medium">
        <color indexed="64"/>
      </top>
      <bottom style="dashed">
        <color rgb="FF000000"/>
      </bottom>
      <diagonal/>
    </border>
  </borders>
  <cellStyleXfs count="3">
    <xf numFmtId="0" fontId="0" fillId="0" borderId="32"/>
    <xf numFmtId="0" fontId="34" fillId="0" borderId="32"/>
    <xf numFmtId="9" fontId="38" fillId="0" borderId="32"/>
  </cellStyleXfs>
  <cellXfs count="395">
    <xf numFmtId="0" fontId="0" fillId="0" borderId="0" xfId="0" applyBorder="1"/>
    <xf numFmtId="3" fontId="0" fillId="2" borderId="0" xfId="0" applyNumberFormat="1" applyFill="1" applyBorder="1" applyAlignment="1">
      <alignment horizontal="right" vertical="center" readingOrder="2"/>
    </xf>
    <xf numFmtId="3" fontId="0" fillId="0" borderId="0" xfId="0" applyNumberFormat="1" applyBorder="1" applyAlignment="1">
      <alignment horizontal="right" vertical="center" readingOrder="2"/>
    </xf>
    <xf numFmtId="3" fontId="6" fillId="2" borderId="0" xfId="0" applyNumberFormat="1" applyFont="1" applyFill="1" applyBorder="1" applyAlignment="1">
      <alignment horizontal="center" vertical="center" wrapText="1" readingOrder="2"/>
    </xf>
    <xf numFmtId="3" fontId="3" fillId="2" borderId="0" xfId="0" applyNumberFormat="1" applyFont="1" applyFill="1" applyBorder="1" applyAlignment="1">
      <alignment horizontal="right" vertical="center" readingOrder="2"/>
    </xf>
    <xf numFmtId="3" fontId="3" fillId="0" borderId="0" xfId="0" applyNumberFormat="1" applyFont="1" applyBorder="1" applyAlignment="1">
      <alignment horizontal="right" vertical="center" readingOrder="2"/>
    </xf>
    <xf numFmtId="164" fontId="9" fillId="0" borderId="0" xfId="0" applyNumberFormat="1" applyFont="1" applyBorder="1" applyAlignment="1">
      <alignment horizontal="left" vertical="center"/>
    </xf>
    <xf numFmtId="165" fontId="12" fillId="2" borderId="0" xfId="0" applyNumberFormat="1" applyFont="1" applyFill="1" applyBorder="1" applyAlignment="1">
      <alignment horizontal="center" vertical="center" wrapText="1" readingOrder="2"/>
    </xf>
    <xf numFmtId="165" fontId="13" fillId="0" borderId="0" xfId="0" applyNumberFormat="1" applyFont="1" applyBorder="1" applyAlignment="1">
      <alignment horizontal="center" vertical="center" wrapText="1" readingOrder="2"/>
    </xf>
    <xf numFmtId="3" fontId="3" fillId="2" borderId="0" xfId="0" applyNumberFormat="1" applyFont="1" applyFill="1" applyBorder="1" applyAlignment="1">
      <alignment horizontal="center" vertical="center" readingOrder="2"/>
    </xf>
    <xf numFmtId="3" fontId="11" fillId="7" borderId="6" xfId="0" applyNumberFormat="1" applyFont="1" applyFill="1" applyBorder="1" applyAlignment="1">
      <alignment horizontal="center" vertical="center" readingOrder="2"/>
    </xf>
    <xf numFmtId="3" fontId="11" fillId="5" borderId="2" xfId="0" applyNumberFormat="1" applyFont="1" applyFill="1" applyBorder="1" applyAlignment="1">
      <alignment horizontal="center" vertical="center" readingOrder="2"/>
    </xf>
    <xf numFmtId="4" fontId="11" fillId="5" borderId="2" xfId="0" applyNumberFormat="1" applyFont="1" applyFill="1" applyBorder="1" applyAlignment="1">
      <alignment horizontal="center" vertical="center" readingOrder="2"/>
    </xf>
    <xf numFmtId="3" fontId="3" fillId="2" borderId="0" xfId="0" applyNumberFormat="1" applyFont="1" applyFill="1" applyBorder="1" applyAlignment="1">
      <alignment horizontal="center" vertical="center" wrapText="1" readingOrder="2"/>
    </xf>
    <xf numFmtId="3" fontId="14" fillId="0" borderId="0" xfId="0" applyNumberFormat="1" applyFont="1" applyBorder="1" applyAlignment="1">
      <alignment vertical="center" readingOrder="2"/>
    </xf>
    <xf numFmtId="3" fontId="19" fillId="2" borderId="0" xfId="0" applyNumberFormat="1" applyFont="1" applyFill="1" applyBorder="1" applyAlignment="1">
      <alignment horizontal="center" vertical="center" wrapText="1" readingOrder="2"/>
    </xf>
    <xf numFmtId="3" fontId="5" fillId="2" borderId="0" xfId="0" applyNumberFormat="1" applyFont="1" applyFill="1" applyBorder="1" applyAlignment="1">
      <alignment horizontal="right" vertical="center" readingOrder="2"/>
    </xf>
    <xf numFmtId="3" fontId="7" fillId="0" borderId="0" xfId="0" applyNumberFormat="1" applyFont="1" applyBorder="1" applyAlignment="1">
      <alignment horizontal="left" vertical="center" readingOrder="2"/>
    </xf>
    <xf numFmtId="3" fontId="4" fillId="0" borderId="0" xfId="0" applyNumberFormat="1" applyFont="1" applyBorder="1" applyAlignment="1">
      <alignment horizontal="center" vertical="center" readingOrder="2"/>
    </xf>
    <xf numFmtId="3" fontId="5" fillId="0" borderId="0" xfId="0" applyNumberFormat="1" applyFont="1" applyBorder="1" applyAlignment="1">
      <alignment horizontal="center" readingOrder="2"/>
    </xf>
    <xf numFmtId="165" fontId="5" fillId="0" borderId="0" xfId="0" applyNumberFormat="1" applyFont="1" applyBorder="1" applyAlignment="1">
      <alignment horizontal="right" vertical="center" indent="1" readingOrder="2"/>
    </xf>
    <xf numFmtId="3" fontId="5" fillId="0" borderId="0" xfId="0" applyNumberFormat="1" applyFont="1" applyBorder="1" applyAlignment="1">
      <alignment horizontal="right" vertical="center" readingOrder="2"/>
    </xf>
    <xf numFmtId="3" fontId="4" fillId="2" borderId="0" xfId="0" applyNumberFormat="1" applyFont="1" applyFill="1" applyBorder="1" applyAlignment="1">
      <alignment horizontal="right" readingOrder="2"/>
    </xf>
    <xf numFmtId="3" fontId="5" fillId="2" borderId="0" xfId="0" applyNumberFormat="1" applyFont="1" applyFill="1" applyBorder="1" applyAlignment="1">
      <alignment horizontal="center" vertical="center" readingOrder="2"/>
    </xf>
    <xf numFmtId="165" fontId="8" fillId="0" borderId="0" xfId="0" applyNumberFormat="1" applyFont="1" applyBorder="1" applyAlignment="1">
      <alignment horizontal="right" vertical="center" readingOrder="2"/>
    </xf>
    <xf numFmtId="165" fontId="17" fillId="2" borderId="0" xfId="0" applyNumberFormat="1" applyFont="1" applyFill="1" applyBorder="1" applyAlignment="1">
      <alignment horizontal="center" vertical="center" readingOrder="2"/>
    </xf>
    <xf numFmtId="3" fontId="7" fillId="2" borderId="0" xfId="0" applyNumberFormat="1" applyFont="1" applyFill="1" applyBorder="1" applyAlignment="1">
      <alignment horizontal="center" vertical="center" readingOrder="2"/>
    </xf>
    <xf numFmtId="3" fontId="4" fillId="2" borderId="0" xfId="0" applyNumberFormat="1" applyFont="1" applyFill="1" applyBorder="1" applyAlignment="1">
      <alignment horizontal="center" vertical="center" readingOrder="2"/>
    </xf>
    <xf numFmtId="3" fontId="5" fillId="0" borderId="0" xfId="0" applyNumberFormat="1" applyFont="1" applyBorder="1" applyAlignment="1">
      <alignment horizontal="center" vertical="center" readingOrder="2"/>
    </xf>
    <xf numFmtId="3" fontId="7" fillId="2" borderId="5" xfId="0" applyNumberFormat="1" applyFont="1" applyFill="1" applyBorder="1" applyAlignment="1">
      <alignment horizontal="center" vertical="center" readingOrder="2"/>
    </xf>
    <xf numFmtId="3" fontId="6" fillId="0" borderId="1" xfId="0" applyNumberFormat="1" applyFont="1" applyBorder="1" applyAlignment="1">
      <alignment horizontal="center" vertical="center" wrapText="1" readingOrder="2"/>
    </xf>
    <xf numFmtId="3" fontId="3" fillId="2" borderId="1" xfId="0" applyNumberFormat="1" applyFont="1" applyFill="1" applyBorder="1" applyAlignment="1">
      <alignment horizontal="right" vertical="center" wrapText="1" readingOrder="2"/>
    </xf>
    <xf numFmtId="3" fontId="6" fillId="2" borderId="1" xfId="0" applyNumberFormat="1" applyFont="1" applyFill="1" applyBorder="1" applyAlignment="1">
      <alignment horizontal="center" vertical="center" wrapText="1" readingOrder="2"/>
    </xf>
    <xf numFmtId="3" fontId="3" fillId="0" borderId="1" xfId="0" applyNumberFormat="1" applyFont="1" applyBorder="1" applyAlignment="1">
      <alignment horizontal="right" vertical="center" wrapText="1" readingOrder="2"/>
    </xf>
    <xf numFmtId="3" fontId="3" fillId="2" borderId="1" xfId="0" applyNumberFormat="1" applyFont="1" applyFill="1" applyBorder="1" applyAlignment="1">
      <alignment horizontal="right" vertical="center" readingOrder="2"/>
    </xf>
    <xf numFmtId="3" fontId="3" fillId="0" borderId="1" xfId="0" applyNumberFormat="1" applyFont="1" applyBorder="1" applyAlignment="1">
      <alignment horizontal="right" vertical="center" readingOrder="2"/>
    </xf>
    <xf numFmtId="3" fontId="3" fillId="0" borderId="0" xfId="0" applyNumberFormat="1" applyFont="1" applyBorder="1" applyAlignment="1">
      <alignment horizontal="center" vertical="center" readingOrder="2"/>
    </xf>
    <xf numFmtId="4" fontId="13" fillId="2" borderId="0" xfId="0" applyNumberFormat="1" applyFont="1" applyFill="1" applyBorder="1" applyAlignment="1">
      <alignment horizontal="center" vertical="center" wrapText="1" readingOrder="2"/>
    </xf>
    <xf numFmtId="4" fontId="13" fillId="2" borderId="0" xfId="0" applyNumberFormat="1" applyFont="1" applyFill="1" applyBorder="1" applyAlignment="1">
      <alignment horizontal="center" vertical="center" readingOrder="2"/>
    </xf>
    <xf numFmtId="49" fontId="3" fillId="2" borderId="0" xfId="0" applyNumberFormat="1" applyFont="1" applyFill="1" applyBorder="1" applyAlignment="1">
      <alignment horizontal="left" vertical="center" readingOrder="2"/>
    </xf>
    <xf numFmtId="4" fontId="13" fillId="2" borderId="0" xfId="0" applyNumberFormat="1" applyFont="1" applyFill="1" applyBorder="1" applyAlignment="1">
      <alignment horizontal="left" vertical="center" readingOrder="1"/>
    </xf>
    <xf numFmtId="3" fontId="17" fillId="2" borderId="0" xfId="0" applyNumberFormat="1" applyFont="1" applyFill="1" applyBorder="1" applyAlignment="1">
      <alignment horizontal="center" vertical="center" wrapText="1" readingOrder="2"/>
    </xf>
    <xf numFmtId="3" fontId="18" fillId="2" borderId="0" xfId="0" applyNumberFormat="1" applyFont="1" applyFill="1" applyBorder="1" applyAlignment="1">
      <alignment horizontal="center" vertical="center" wrapText="1" readingOrder="2"/>
    </xf>
    <xf numFmtId="3" fontId="22" fillId="0" borderId="0" xfId="0" applyNumberFormat="1" applyFont="1" applyBorder="1" applyAlignment="1">
      <alignment horizontal="left" vertical="center" readingOrder="2"/>
    </xf>
    <xf numFmtId="3" fontId="1" fillId="4" borderId="2" xfId="0" applyNumberFormat="1" applyFont="1" applyFill="1" applyBorder="1" applyAlignment="1">
      <alignment horizontal="right" vertical="center" readingOrder="2"/>
    </xf>
    <xf numFmtId="3" fontId="21" fillId="2" borderId="0" xfId="0" applyNumberFormat="1" applyFont="1" applyFill="1" applyBorder="1" applyAlignment="1">
      <alignment horizontal="center" vertical="center" readingOrder="2"/>
    </xf>
    <xf numFmtId="3" fontId="21" fillId="2" borderId="2" xfId="0" applyNumberFormat="1" applyFont="1" applyFill="1" applyBorder="1" applyAlignment="1">
      <alignment horizontal="center" vertical="center" readingOrder="2"/>
    </xf>
    <xf numFmtId="3" fontId="4" fillId="2" borderId="0" xfId="0" applyNumberFormat="1" applyFont="1" applyFill="1" applyBorder="1" applyAlignment="1">
      <alignment horizontal="center" vertical="center" wrapText="1" readingOrder="2"/>
    </xf>
    <xf numFmtId="3" fontId="4" fillId="0" borderId="0" xfId="0" applyNumberFormat="1" applyFont="1" applyBorder="1" applyAlignment="1">
      <alignment horizontal="center" vertical="center" wrapText="1" readingOrder="2"/>
    </xf>
    <xf numFmtId="3" fontId="15" fillId="2" borderId="0" xfId="0" applyNumberFormat="1" applyFont="1" applyFill="1" applyBorder="1" applyAlignment="1">
      <alignment horizontal="center" vertical="center" wrapText="1" readingOrder="2"/>
    </xf>
    <xf numFmtId="3" fontId="15" fillId="2" borderId="0" xfId="0" applyNumberFormat="1" applyFont="1" applyFill="1" applyBorder="1" applyAlignment="1">
      <alignment horizontal="right" vertical="center" wrapText="1" readingOrder="2"/>
    </xf>
    <xf numFmtId="3" fontId="16" fillId="0" borderId="0" xfId="0" applyNumberFormat="1" applyFont="1" applyBorder="1" applyAlignment="1">
      <alignment horizontal="center" vertical="center" readingOrder="2"/>
    </xf>
    <xf numFmtId="3" fontId="23" fillId="2" borderId="0" xfId="0" applyNumberFormat="1" applyFont="1" applyFill="1" applyBorder="1" applyAlignment="1">
      <alignment horizontal="center" vertical="center" wrapText="1" readingOrder="2"/>
    </xf>
    <xf numFmtId="3" fontId="14" fillId="2" borderId="0" xfId="0" applyNumberFormat="1" applyFont="1" applyFill="1" applyBorder="1" applyAlignment="1">
      <alignment horizontal="center" vertical="center" wrapText="1" readingOrder="2"/>
    </xf>
    <xf numFmtId="3" fontId="24" fillId="0" borderId="0" xfId="0" applyNumberFormat="1" applyFont="1" applyBorder="1" applyAlignment="1">
      <alignment horizontal="right" vertical="center" readingOrder="2"/>
    </xf>
    <xf numFmtId="165" fontId="14" fillId="3" borderId="2" xfId="0" applyNumberFormat="1" applyFont="1" applyFill="1" applyBorder="1" applyAlignment="1">
      <alignment horizontal="center" vertical="center" wrapText="1" readingOrder="2"/>
    </xf>
    <xf numFmtId="3" fontId="17" fillId="0" borderId="0" xfId="0" applyNumberFormat="1" applyFont="1" applyBorder="1" applyAlignment="1">
      <alignment vertical="center" readingOrder="2"/>
    </xf>
    <xf numFmtId="165" fontId="14" fillId="2" borderId="0" xfId="0" applyNumberFormat="1" applyFont="1" applyFill="1" applyBorder="1" applyAlignment="1">
      <alignment horizontal="center" vertical="center" wrapText="1" readingOrder="2"/>
    </xf>
    <xf numFmtId="3" fontId="23" fillId="2" borderId="0" xfId="0" applyNumberFormat="1" applyFont="1" applyFill="1" applyBorder="1" applyAlignment="1">
      <alignment horizontal="right" vertical="center" readingOrder="2"/>
    </xf>
    <xf numFmtId="3" fontId="24" fillId="2" borderId="0" xfId="0" applyNumberFormat="1" applyFont="1" applyFill="1" applyBorder="1" applyAlignment="1">
      <alignment horizontal="right" vertical="center" readingOrder="2"/>
    </xf>
    <xf numFmtId="3" fontId="24" fillId="2" borderId="0" xfId="0" applyNumberFormat="1" applyFont="1" applyFill="1" applyBorder="1" applyAlignment="1">
      <alignment horizontal="right" vertical="center" wrapText="1" readingOrder="2"/>
    </xf>
    <xf numFmtId="165" fontId="25" fillId="2" borderId="0" xfId="0" applyNumberFormat="1" applyFont="1" applyFill="1" applyBorder="1" applyAlignment="1">
      <alignment horizontal="center" vertical="center" readingOrder="2"/>
    </xf>
    <xf numFmtId="3" fontId="5" fillId="2" borderId="0" xfId="0" applyNumberFormat="1" applyFont="1" applyFill="1" applyBorder="1" applyAlignment="1">
      <alignment horizontal="right" vertical="center" wrapText="1" readingOrder="2"/>
    </xf>
    <xf numFmtId="0" fontId="0" fillId="0" borderId="0" xfId="0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0" fillId="2" borderId="0" xfId="0" applyFill="1" applyBorder="1" applyAlignment="1">
      <alignment vertical="center" wrapText="1"/>
    </xf>
    <xf numFmtId="164" fontId="3" fillId="2" borderId="0" xfId="0" applyNumberFormat="1" applyFont="1" applyFill="1" applyBorder="1" applyAlignment="1">
      <alignment horizontal="left" vertical="center"/>
    </xf>
    <xf numFmtId="3" fontId="4" fillId="2" borderId="0" xfId="0" applyNumberFormat="1" applyFont="1" applyFill="1" applyBorder="1" applyAlignment="1">
      <alignment horizontal="right" vertical="center" readingOrder="2"/>
    </xf>
    <xf numFmtId="3" fontId="4" fillId="0" borderId="0" xfId="0" applyNumberFormat="1" applyFont="1" applyBorder="1" applyAlignment="1">
      <alignment horizontal="right" vertical="center" readingOrder="2"/>
    </xf>
    <xf numFmtId="49" fontId="9" fillId="0" borderId="0" xfId="0" applyNumberFormat="1" applyFont="1" applyBorder="1" applyAlignment="1">
      <alignment horizontal="left" vertical="center"/>
    </xf>
    <xf numFmtId="3" fontId="4" fillId="0" borderId="3" xfId="0" applyNumberFormat="1" applyFont="1" applyBorder="1" applyAlignment="1">
      <alignment horizontal="center" vertical="center" readingOrder="2"/>
    </xf>
    <xf numFmtId="165" fontId="21" fillId="2" borderId="2" xfId="0" applyNumberFormat="1" applyFont="1" applyFill="1" applyBorder="1" applyAlignment="1">
      <alignment horizontal="center" vertical="center" readingOrder="2"/>
    </xf>
    <xf numFmtId="165" fontId="4" fillId="6" borderId="2" xfId="0" applyNumberFormat="1" applyFont="1" applyFill="1" applyBorder="1" applyAlignment="1">
      <alignment horizontal="center" vertical="center" readingOrder="2"/>
    </xf>
    <xf numFmtId="3" fontId="6" fillId="2" borderId="0" xfId="0" applyNumberFormat="1" applyFont="1" applyFill="1" applyBorder="1" applyAlignment="1">
      <alignment horizontal="center" vertical="center" readingOrder="2"/>
    </xf>
    <xf numFmtId="3" fontId="16" fillId="2" borderId="0" xfId="0" applyNumberFormat="1" applyFont="1" applyFill="1" applyBorder="1" applyAlignment="1">
      <alignment horizontal="center" vertical="center" readingOrder="2"/>
    </xf>
    <xf numFmtId="3" fontId="20" fillId="2" borderId="0" xfId="0" applyNumberFormat="1" applyFont="1" applyFill="1" applyBorder="1" applyAlignment="1">
      <alignment horizontal="center" vertical="center" readingOrder="2"/>
    </xf>
    <xf numFmtId="3" fontId="7" fillId="2" borderId="0" xfId="0" applyNumberFormat="1" applyFont="1" applyFill="1" applyBorder="1" applyAlignment="1">
      <alignment horizontal="left" vertical="center" readingOrder="2"/>
    </xf>
    <xf numFmtId="165" fontId="17" fillId="3" borderId="4" xfId="0" applyNumberFormat="1" applyFont="1" applyFill="1" applyBorder="1" applyAlignment="1">
      <alignment horizontal="center" vertical="center" wrapText="1" readingOrder="2"/>
    </xf>
    <xf numFmtId="3" fontId="17" fillId="0" borderId="0" xfId="0" applyNumberFormat="1" applyFont="1" applyBorder="1" applyAlignment="1">
      <alignment horizontal="center" vertical="center" readingOrder="2"/>
    </xf>
    <xf numFmtId="3" fontId="17" fillId="2" borderId="0" xfId="0" applyNumberFormat="1" applyFont="1" applyFill="1" applyBorder="1" applyAlignment="1">
      <alignment horizontal="right" vertical="center" readingOrder="2"/>
    </xf>
    <xf numFmtId="0" fontId="3" fillId="0" borderId="0" xfId="0" applyFont="1" applyBorder="1" applyAlignment="1">
      <alignment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3" fontId="11" fillId="7" borderId="2" xfId="0" applyNumberFormat="1" applyFont="1" applyFill="1" applyBorder="1" applyAlignment="1">
      <alignment horizontal="center" vertical="center" readingOrder="2"/>
    </xf>
    <xf numFmtId="3" fontId="3" fillId="2" borderId="0" xfId="0" applyNumberFormat="1" applyFont="1" applyFill="1" applyBorder="1" applyAlignment="1" applyProtection="1">
      <alignment horizontal="right" vertical="center" readingOrder="2"/>
      <protection locked="0"/>
    </xf>
    <xf numFmtId="3" fontId="17" fillId="2" borderId="0" xfId="0" applyNumberFormat="1" applyFont="1" applyFill="1" applyBorder="1" applyAlignment="1" applyProtection="1">
      <alignment horizontal="center" vertical="center" readingOrder="2"/>
      <protection locked="0"/>
    </xf>
    <xf numFmtId="3" fontId="14" fillId="0" borderId="0" xfId="0" applyNumberFormat="1" applyFont="1" applyBorder="1" applyAlignment="1">
      <alignment horizontal="right" vertical="center" readingOrder="2"/>
    </xf>
    <xf numFmtId="3" fontId="40" fillId="0" borderId="0" xfId="0" applyNumberFormat="1" applyFont="1" applyBorder="1" applyAlignment="1">
      <alignment horizontal="right" vertical="center" readingOrder="2"/>
    </xf>
    <xf numFmtId="3" fontId="28" fillId="8" borderId="0" xfId="0" applyNumberFormat="1" applyFont="1" applyFill="1" applyBorder="1" applyAlignment="1">
      <alignment vertical="center" wrapText="1" readingOrder="2"/>
    </xf>
    <xf numFmtId="3" fontId="16" fillId="2" borderId="0" xfId="0" applyNumberFormat="1" applyFont="1" applyFill="1" applyBorder="1" applyAlignment="1">
      <alignment horizontal="center" vertical="center" wrapText="1" readingOrder="2"/>
    </xf>
    <xf numFmtId="3" fontId="30" fillId="8" borderId="0" xfId="0" applyNumberFormat="1" applyFont="1" applyFill="1" applyBorder="1" applyAlignment="1">
      <alignment vertical="center" wrapText="1" readingOrder="2"/>
    </xf>
    <xf numFmtId="3" fontId="30" fillId="2" borderId="0" xfId="0" applyNumberFormat="1" applyFont="1" applyFill="1" applyBorder="1" applyAlignment="1">
      <alignment vertical="center" wrapText="1" readingOrder="2"/>
    </xf>
    <xf numFmtId="49" fontId="42" fillId="8" borderId="0" xfId="0" applyNumberFormat="1" applyFont="1" applyFill="1" applyBorder="1" applyAlignment="1">
      <alignment horizontal="right" vertical="center" readingOrder="2"/>
    </xf>
    <xf numFmtId="49" fontId="42" fillId="8" borderId="0" xfId="0" applyNumberFormat="1" applyFont="1" applyFill="1" applyBorder="1" applyAlignment="1">
      <alignment vertical="center" readingOrder="2"/>
    </xf>
    <xf numFmtId="3" fontId="16" fillId="2" borderId="0" xfId="0" applyNumberFormat="1" applyFont="1" applyFill="1" applyBorder="1" applyAlignment="1">
      <alignment horizontal="left" vertical="center" wrapText="1" readingOrder="2"/>
    </xf>
    <xf numFmtId="3" fontId="17" fillId="2" borderId="0" xfId="0" applyNumberFormat="1" applyFont="1" applyFill="1" applyBorder="1" applyAlignment="1">
      <alignment horizontal="left" vertical="center" wrapText="1" readingOrder="2"/>
    </xf>
    <xf numFmtId="3" fontId="42" fillId="8" borderId="0" xfId="0" applyNumberFormat="1" applyFont="1" applyFill="1" applyBorder="1" applyAlignment="1">
      <alignment horizontal="left" vertical="center" readingOrder="2"/>
    </xf>
    <xf numFmtId="3" fontId="42" fillId="8" borderId="0" xfId="0" applyNumberFormat="1" applyFont="1" applyFill="1" applyBorder="1" applyAlignment="1">
      <alignment horizontal="center" vertical="center" readingOrder="2"/>
    </xf>
    <xf numFmtId="3" fontId="43" fillId="8" borderId="8" xfId="0" applyNumberFormat="1" applyFont="1" applyFill="1" applyBorder="1" applyAlignment="1">
      <alignment horizontal="center" vertical="center" readingOrder="2"/>
    </xf>
    <xf numFmtId="3" fontId="42" fillId="8" borderId="3" xfId="0" applyNumberFormat="1" applyFont="1" applyFill="1" applyBorder="1" applyAlignment="1">
      <alignment vertical="center" readingOrder="2"/>
    </xf>
    <xf numFmtId="3" fontId="41" fillId="8" borderId="3" xfId="0" applyNumberFormat="1" applyFont="1" applyFill="1" applyBorder="1" applyAlignment="1">
      <alignment vertical="center" wrapText="1" readingOrder="2"/>
    </xf>
    <xf numFmtId="165" fontId="5" fillId="0" borderId="0" xfId="0" applyNumberFormat="1" applyFont="1" applyBorder="1" applyAlignment="1">
      <alignment horizontal="right" vertical="center" readingOrder="2"/>
    </xf>
    <xf numFmtId="165" fontId="19" fillId="0" borderId="0" xfId="0" applyNumberFormat="1" applyFont="1" applyBorder="1" applyAlignment="1">
      <alignment horizontal="right" vertical="center" readingOrder="2"/>
    </xf>
    <xf numFmtId="165" fontId="44" fillId="0" borderId="0" xfId="0" applyNumberFormat="1" applyFont="1" applyBorder="1" applyAlignment="1">
      <alignment horizontal="right" vertical="center" readingOrder="2"/>
    </xf>
    <xf numFmtId="164" fontId="16" fillId="0" borderId="0" xfId="0" applyNumberFormat="1" applyFont="1" applyBorder="1" applyAlignment="1">
      <alignment horizontal="left" vertical="center"/>
    </xf>
    <xf numFmtId="165" fontId="4" fillId="0" borderId="0" xfId="0" applyNumberFormat="1" applyFont="1" applyBorder="1" applyAlignment="1">
      <alignment horizontal="right" vertical="center" readingOrder="2"/>
    </xf>
    <xf numFmtId="3" fontId="4" fillId="7" borderId="2" xfId="0" applyNumberFormat="1" applyFont="1" applyFill="1" applyBorder="1" applyAlignment="1">
      <alignment horizontal="center" vertical="center" readingOrder="2"/>
    </xf>
    <xf numFmtId="3" fontId="5" fillId="2" borderId="0" xfId="0" applyNumberFormat="1" applyFont="1" applyFill="1" applyBorder="1" applyAlignment="1">
      <alignment vertical="center" readingOrder="2"/>
    </xf>
    <xf numFmtId="165" fontId="26" fillId="0" borderId="0" xfId="0" applyNumberFormat="1" applyFont="1" applyBorder="1" applyAlignment="1">
      <alignment horizontal="right" vertical="center" readingOrder="2"/>
    </xf>
    <xf numFmtId="165" fontId="16" fillId="2" borderId="9" xfId="0" applyNumberFormat="1" applyFont="1" applyFill="1" applyBorder="1" applyAlignment="1">
      <alignment horizontal="center" vertical="center" readingOrder="2"/>
    </xf>
    <xf numFmtId="165" fontId="5" fillId="2" borderId="0" xfId="0" applyNumberFormat="1" applyFont="1" applyFill="1" applyBorder="1" applyAlignment="1">
      <alignment horizontal="right" vertical="center" readingOrder="2"/>
    </xf>
    <xf numFmtId="165" fontId="10" fillId="0" borderId="0" xfId="0" applyNumberFormat="1" applyFont="1" applyBorder="1" applyAlignment="1">
      <alignment horizontal="right" vertical="center" readingOrder="2"/>
    </xf>
    <xf numFmtId="3" fontId="45" fillId="0" borderId="0" xfId="0" applyNumberFormat="1" applyFont="1" applyBorder="1" applyAlignment="1">
      <alignment vertical="center" readingOrder="2"/>
    </xf>
    <xf numFmtId="3" fontId="28" fillId="8" borderId="0" xfId="0" applyNumberFormat="1" applyFont="1" applyFill="1" applyBorder="1" applyAlignment="1">
      <alignment horizontal="left" vertical="center" readingOrder="2"/>
    </xf>
    <xf numFmtId="3" fontId="42" fillId="2" borderId="0" xfId="0" applyNumberFormat="1" applyFont="1" applyFill="1" applyBorder="1" applyAlignment="1">
      <alignment horizontal="left" vertical="center" readingOrder="2"/>
    </xf>
    <xf numFmtId="3" fontId="42" fillId="2" borderId="0" xfId="0" applyNumberFormat="1" applyFont="1" applyFill="1" applyBorder="1" applyAlignment="1">
      <alignment horizontal="center" vertical="center" readingOrder="2"/>
    </xf>
    <xf numFmtId="3" fontId="43" fillId="2" borderId="0" xfId="0" applyNumberFormat="1" applyFont="1" applyFill="1" applyBorder="1" applyAlignment="1">
      <alignment horizontal="center" vertical="center" readingOrder="2"/>
    </xf>
    <xf numFmtId="3" fontId="42" fillId="2" borderId="0" xfId="0" applyNumberFormat="1" applyFont="1" applyFill="1" applyBorder="1" applyAlignment="1">
      <alignment vertical="center" readingOrder="2"/>
    </xf>
    <xf numFmtId="3" fontId="41" fillId="2" borderId="0" xfId="0" applyNumberFormat="1" applyFont="1" applyFill="1" applyBorder="1" applyAlignment="1">
      <alignment vertical="center" wrapText="1" readingOrder="2"/>
    </xf>
    <xf numFmtId="3" fontId="21" fillId="4" borderId="2" xfId="0" applyNumberFormat="1" applyFont="1" applyFill="1" applyBorder="1" applyAlignment="1">
      <alignment horizontal="right" vertical="center" wrapText="1" readingOrder="2"/>
    </xf>
    <xf numFmtId="0" fontId="33" fillId="0" borderId="0" xfId="0" applyFont="1" applyBorder="1" applyAlignment="1">
      <alignment horizontal="right" vertical="center" wrapText="1"/>
    </xf>
    <xf numFmtId="165" fontId="4" fillId="2" borderId="2" xfId="0" applyNumberFormat="1" applyFont="1" applyFill="1" applyBorder="1" applyAlignment="1">
      <alignment horizontal="center" vertical="center" readingOrder="2"/>
    </xf>
    <xf numFmtId="0" fontId="6" fillId="2" borderId="0" xfId="0" applyFont="1" applyFill="1" applyBorder="1" applyAlignment="1">
      <alignment horizontal="center" vertical="center" wrapText="1"/>
    </xf>
    <xf numFmtId="165" fontId="24" fillId="2" borderId="0" xfId="0" applyNumberFormat="1" applyFont="1" applyFill="1" applyBorder="1" applyAlignment="1">
      <alignment horizontal="right" vertical="center" readingOrder="2"/>
    </xf>
    <xf numFmtId="3" fontId="16" fillId="2" borderId="0" xfId="0" applyNumberFormat="1" applyFont="1" applyFill="1" applyBorder="1" applyAlignment="1">
      <alignment horizontal="right" vertical="center" readingOrder="2"/>
    </xf>
    <xf numFmtId="3" fontId="4" fillId="2" borderId="2" xfId="0" applyNumberFormat="1" applyFont="1" applyFill="1" applyBorder="1" applyAlignment="1">
      <alignment horizontal="center" vertical="center" readingOrder="2"/>
    </xf>
    <xf numFmtId="3" fontId="26" fillId="2" borderId="0" xfId="0" applyNumberFormat="1" applyFont="1" applyFill="1" applyBorder="1" applyAlignment="1">
      <alignment horizontal="right" vertical="center" readingOrder="2"/>
    </xf>
    <xf numFmtId="165" fontId="7" fillId="2" borderId="9" xfId="0" applyNumberFormat="1" applyFont="1" applyFill="1" applyBorder="1" applyAlignment="1">
      <alignment horizontal="center" vertical="center" readingOrder="2"/>
    </xf>
    <xf numFmtId="0" fontId="3" fillId="0" borderId="0" xfId="0" applyFont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165" fontId="10" fillId="2" borderId="0" xfId="0" applyNumberFormat="1" applyFont="1" applyFill="1" applyBorder="1" applyAlignment="1">
      <alignment horizontal="right" vertical="center" readingOrder="2"/>
    </xf>
    <xf numFmtId="3" fontId="7" fillId="0" borderId="0" xfId="0" applyNumberFormat="1" applyFont="1" applyBorder="1" applyAlignment="1">
      <alignment horizontal="right" vertical="center" readingOrder="2"/>
    </xf>
    <xf numFmtId="3" fontId="32" fillId="0" borderId="0" xfId="0" applyNumberFormat="1" applyFont="1" applyBorder="1" applyAlignment="1">
      <alignment horizontal="center" vertical="center" wrapText="1" readingOrder="2"/>
    </xf>
    <xf numFmtId="0" fontId="33" fillId="0" borderId="0" xfId="0" applyFont="1" applyBorder="1" applyAlignment="1">
      <alignment vertical="center"/>
    </xf>
    <xf numFmtId="3" fontId="4" fillId="7" borderId="10" xfId="0" applyNumberFormat="1" applyFont="1" applyFill="1" applyBorder="1" applyAlignment="1">
      <alignment horizontal="center" vertical="center" readingOrder="2"/>
    </xf>
    <xf numFmtId="3" fontId="47" fillId="0" borderId="0" xfId="0" applyNumberFormat="1" applyFont="1" applyBorder="1" applyAlignment="1">
      <alignment horizontal="right" vertical="center" readingOrder="2"/>
    </xf>
    <xf numFmtId="3" fontId="47" fillId="4" borderId="2" xfId="0" applyNumberFormat="1" applyFont="1" applyFill="1" applyBorder="1" applyAlignment="1">
      <alignment horizontal="center" vertical="center" readingOrder="2"/>
    </xf>
    <xf numFmtId="3" fontId="4" fillId="9" borderId="2" xfId="0" applyNumberFormat="1" applyFont="1" applyFill="1" applyBorder="1" applyAlignment="1">
      <alignment horizontal="center" vertical="center"/>
    </xf>
    <xf numFmtId="0" fontId="48" fillId="0" borderId="0" xfId="0" applyFont="1" applyBorder="1"/>
    <xf numFmtId="0" fontId="49" fillId="0" borderId="0" xfId="0" applyFont="1" applyBorder="1"/>
    <xf numFmtId="0" fontId="37" fillId="0" borderId="0" xfId="0" applyFont="1" applyBorder="1"/>
    <xf numFmtId="165" fontId="16" fillId="6" borderId="9" xfId="0" applyNumberFormat="1" applyFont="1" applyFill="1" applyBorder="1" applyAlignment="1">
      <alignment horizontal="center" vertical="center" readingOrder="2"/>
    </xf>
    <xf numFmtId="164" fontId="4" fillId="9" borderId="2" xfId="0" applyNumberFormat="1" applyFont="1" applyFill="1" applyBorder="1" applyAlignment="1">
      <alignment horizontal="center" vertical="center"/>
    </xf>
    <xf numFmtId="3" fontId="4" fillId="2" borderId="2" xfId="0" applyNumberFormat="1" applyFont="1" applyFill="1" applyBorder="1" applyAlignment="1">
      <alignment horizontal="center" vertical="center"/>
    </xf>
    <xf numFmtId="164" fontId="4" fillId="2" borderId="2" xfId="0" applyNumberFormat="1" applyFont="1" applyFill="1" applyBorder="1" applyAlignment="1">
      <alignment horizontal="center" vertical="center"/>
    </xf>
    <xf numFmtId="165" fontId="4" fillId="2" borderId="0" xfId="0" applyNumberFormat="1" applyFont="1" applyFill="1" applyBorder="1" applyAlignment="1">
      <alignment horizontal="right" vertical="center" readingOrder="2"/>
    </xf>
    <xf numFmtId="0" fontId="50" fillId="0" borderId="0" xfId="0" applyFont="1" applyBorder="1"/>
    <xf numFmtId="0" fontId="51" fillId="0" borderId="0" xfId="0" applyFont="1" applyBorder="1"/>
    <xf numFmtId="0" fontId="35" fillId="0" borderId="0" xfId="0" applyFont="1" applyBorder="1"/>
    <xf numFmtId="0" fontId="52" fillId="0" borderId="0" xfId="0" applyFont="1" applyBorder="1"/>
    <xf numFmtId="4" fontId="4" fillId="0" borderId="0" xfId="0" applyNumberFormat="1" applyFont="1" applyBorder="1" applyAlignment="1">
      <alignment horizontal="right" vertical="center" readingOrder="2"/>
    </xf>
    <xf numFmtId="3" fontId="42" fillId="8" borderId="8" xfId="0" applyNumberFormat="1" applyFont="1" applyFill="1" applyBorder="1" applyAlignment="1">
      <alignment horizontal="center" vertical="center" readingOrder="2"/>
    </xf>
    <xf numFmtId="3" fontId="4" fillId="2" borderId="0" xfId="0" applyNumberFormat="1" applyFont="1" applyFill="1" applyBorder="1" applyAlignment="1">
      <alignment horizontal="left" vertical="center" wrapText="1" readingOrder="2"/>
    </xf>
    <xf numFmtId="3" fontId="53" fillId="0" borderId="0" xfId="0" applyNumberFormat="1" applyFont="1" applyBorder="1" applyAlignment="1">
      <alignment horizontal="left" vertical="center" wrapText="1" readingOrder="2"/>
    </xf>
    <xf numFmtId="164" fontId="16" fillId="2" borderId="0" xfId="0" applyNumberFormat="1" applyFont="1" applyFill="1" applyBorder="1" applyAlignment="1">
      <alignment horizontal="left" vertical="center"/>
    </xf>
    <xf numFmtId="164" fontId="9" fillId="2" borderId="0" xfId="0" applyNumberFormat="1" applyFont="1" applyFill="1" applyBorder="1" applyAlignment="1">
      <alignment horizontal="left" vertical="center"/>
    </xf>
    <xf numFmtId="0" fontId="55" fillId="2" borderId="0" xfId="0" applyFont="1" applyFill="1" applyBorder="1" applyAlignment="1" applyProtection="1">
      <alignment vertical="center"/>
      <protection locked="0"/>
    </xf>
    <xf numFmtId="3" fontId="7" fillId="2" borderId="0" xfId="0" applyNumberFormat="1" applyFont="1" applyFill="1" applyBorder="1" applyAlignment="1">
      <alignment horizontal="right" vertical="center" readingOrder="2"/>
    </xf>
    <xf numFmtId="0" fontId="55" fillId="2" borderId="0" xfId="0" applyFont="1" applyFill="1" applyBorder="1" applyProtection="1">
      <protection locked="0"/>
    </xf>
    <xf numFmtId="164" fontId="16" fillId="0" borderId="0" xfId="0" applyNumberFormat="1" applyFont="1" applyBorder="1" applyAlignment="1">
      <alignment horizontal="left" vertical="center" readingOrder="2"/>
    </xf>
    <xf numFmtId="0" fontId="47" fillId="0" borderId="0" xfId="0" applyFont="1" applyBorder="1"/>
    <xf numFmtId="3" fontId="56" fillId="8" borderId="0" xfId="0" applyNumberFormat="1" applyFont="1" applyFill="1" applyBorder="1" applyAlignment="1">
      <alignment horizontal="center" vertical="center" readingOrder="2"/>
    </xf>
    <xf numFmtId="3" fontId="57" fillId="8" borderId="0" xfId="0" applyNumberFormat="1" applyFont="1" applyFill="1" applyBorder="1" applyAlignment="1">
      <alignment horizontal="center" vertical="center" readingOrder="2"/>
    </xf>
    <xf numFmtId="3" fontId="22" fillId="0" borderId="0" xfId="0" applyNumberFormat="1" applyFont="1" applyBorder="1" applyAlignment="1" applyProtection="1">
      <alignment horizontal="left" vertical="center" readingOrder="2"/>
      <protection hidden="1"/>
    </xf>
    <xf numFmtId="3" fontId="21" fillId="2" borderId="0" xfId="0" applyNumberFormat="1" applyFont="1" applyFill="1" applyBorder="1" applyAlignment="1" applyProtection="1">
      <alignment vertical="center" wrapText="1" readingOrder="2"/>
      <protection hidden="1"/>
    </xf>
    <xf numFmtId="3" fontId="0" fillId="0" borderId="0" xfId="0" applyNumberFormat="1" applyBorder="1" applyAlignment="1" applyProtection="1">
      <alignment horizontal="left" vertical="center" readingOrder="2"/>
      <protection hidden="1"/>
    </xf>
    <xf numFmtId="165" fontId="58" fillId="2" borderId="0" xfId="0" applyNumberFormat="1" applyFont="1" applyFill="1" applyBorder="1" applyAlignment="1">
      <alignment horizontal="center" vertical="center" readingOrder="2"/>
    </xf>
    <xf numFmtId="165" fontId="19" fillId="2" borderId="0" xfId="0" applyNumberFormat="1" applyFont="1" applyFill="1" applyBorder="1" applyAlignment="1">
      <alignment horizontal="center" vertical="top" wrapText="1" readingOrder="2"/>
    </xf>
    <xf numFmtId="4" fontId="54" fillId="2" borderId="0" xfId="0" applyNumberFormat="1" applyFont="1" applyFill="1" applyBorder="1" applyAlignment="1">
      <alignment horizontal="center" vertical="center" wrapText="1" readingOrder="2"/>
    </xf>
    <xf numFmtId="165" fontId="59" fillId="2" borderId="0" xfId="0" applyNumberFormat="1" applyFont="1" applyFill="1" applyBorder="1" applyAlignment="1">
      <alignment horizontal="center" vertical="center" readingOrder="1"/>
    </xf>
    <xf numFmtId="165" fontId="60" fillId="2" borderId="0" xfId="0" applyNumberFormat="1" applyFont="1" applyFill="1" applyBorder="1" applyAlignment="1">
      <alignment horizontal="center" vertical="center" readingOrder="1"/>
    </xf>
    <xf numFmtId="4" fontId="13" fillId="2" borderId="0" xfId="0" applyNumberFormat="1" applyFont="1" applyFill="1" applyBorder="1" applyAlignment="1">
      <alignment horizontal="center" vertical="center" readingOrder="1"/>
    </xf>
    <xf numFmtId="4" fontId="60" fillId="2" borderId="0" xfId="0" applyNumberFormat="1" applyFont="1" applyFill="1" applyBorder="1" applyAlignment="1">
      <alignment horizontal="center" vertical="center" readingOrder="1"/>
    </xf>
    <xf numFmtId="165" fontId="3" fillId="2" borderId="0" xfId="0" applyNumberFormat="1" applyFont="1" applyFill="1" applyBorder="1" applyAlignment="1">
      <alignment horizontal="right" vertical="center" wrapText="1" readingOrder="2"/>
    </xf>
    <xf numFmtId="4" fontId="3" fillId="2" borderId="2" xfId="0" applyNumberFormat="1" applyFont="1" applyFill="1" applyBorder="1" applyAlignment="1">
      <alignment horizontal="center" vertical="center" readingOrder="2"/>
    </xf>
    <xf numFmtId="0" fontId="61" fillId="0" borderId="0" xfId="0" applyFont="1" applyBorder="1" applyAlignment="1">
      <alignment horizontal="right" vertical="center" readingOrder="2"/>
    </xf>
    <xf numFmtId="3" fontId="62" fillId="0" borderId="0" xfId="0" applyNumberFormat="1" applyFont="1" applyBorder="1" applyAlignment="1">
      <alignment horizontal="right" vertical="center" readingOrder="2"/>
    </xf>
    <xf numFmtId="3" fontId="63" fillId="0" borderId="0" xfId="0" applyNumberFormat="1" applyFont="1" applyBorder="1" applyAlignment="1">
      <alignment horizontal="center" vertical="center" readingOrder="2"/>
    </xf>
    <xf numFmtId="0" fontId="64" fillId="0" borderId="0" xfId="0" applyFont="1" applyBorder="1" applyAlignment="1">
      <alignment readingOrder="1"/>
    </xf>
    <xf numFmtId="0" fontId="64" fillId="0" borderId="0" xfId="0" applyFont="1" applyBorder="1" applyAlignment="1">
      <alignment horizontal="left" readingOrder="2"/>
    </xf>
    <xf numFmtId="3" fontId="62" fillId="12" borderId="0" xfId="0" applyNumberFormat="1" applyFont="1" applyFill="1" applyBorder="1" applyAlignment="1">
      <alignment horizontal="right" vertical="center" readingOrder="2"/>
    </xf>
    <xf numFmtId="3" fontId="62" fillId="0" borderId="0" xfId="0" applyNumberFormat="1" applyFont="1" applyBorder="1" applyAlignment="1">
      <alignment horizontal="center" vertical="center" readingOrder="2"/>
    </xf>
    <xf numFmtId="3" fontId="64" fillId="12" borderId="0" xfId="0" applyNumberFormat="1" applyFont="1" applyFill="1" applyBorder="1" applyAlignment="1">
      <alignment horizontal="right" vertical="center" readingOrder="2"/>
    </xf>
    <xf numFmtId="3" fontId="62" fillId="13" borderId="6" xfId="0" applyNumberFormat="1" applyFont="1" applyFill="1" applyBorder="1" applyAlignment="1">
      <alignment horizontal="left" vertical="center" readingOrder="2"/>
    </xf>
    <xf numFmtId="3" fontId="62" fillId="13" borderId="6" xfId="0" applyNumberFormat="1" applyFont="1" applyFill="1" applyBorder="1" applyAlignment="1">
      <alignment horizontal="right" vertical="center" readingOrder="2"/>
    </xf>
    <xf numFmtId="0" fontId="66" fillId="11" borderId="13" xfId="0" applyFont="1" applyFill="1" applyBorder="1" applyAlignment="1">
      <alignment readingOrder="1"/>
    </xf>
    <xf numFmtId="3" fontId="66" fillId="11" borderId="11" xfId="0" applyNumberFormat="1" applyFont="1" applyFill="1" applyBorder="1" applyAlignment="1">
      <alignment horizontal="right" readingOrder="2"/>
    </xf>
    <xf numFmtId="3" fontId="4" fillId="6" borderId="2" xfId="0" applyNumberFormat="1" applyFont="1" applyFill="1" applyBorder="1" applyAlignment="1">
      <alignment horizontal="center" vertical="center" readingOrder="2"/>
    </xf>
    <xf numFmtId="3" fontId="67" fillId="0" borderId="0" xfId="0" applyNumberFormat="1" applyFont="1" applyBorder="1" applyAlignment="1">
      <alignment vertical="center" readingOrder="2"/>
    </xf>
    <xf numFmtId="165" fontId="64" fillId="0" borderId="0" xfId="0" applyNumberFormat="1" applyFont="1" applyBorder="1" applyAlignment="1">
      <alignment horizontal="right" vertical="center" readingOrder="2"/>
    </xf>
    <xf numFmtId="3" fontId="68" fillId="0" borderId="0" xfId="0" applyNumberFormat="1" applyFont="1" applyBorder="1" applyAlignment="1">
      <alignment horizontal="center" readingOrder="2"/>
    </xf>
    <xf numFmtId="165" fontId="68" fillId="0" borderId="0" xfId="0" applyNumberFormat="1" applyFont="1" applyBorder="1" applyAlignment="1">
      <alignment horizontal="right" vertical="center" readingOrder="2"/>
    </xf>
    <xf numFmtId="0" fontId="69" fillId="0" borderId="0" xfId="0" applyFont="1" applyBorder="1"/>
    <xf numFmtId="3" fontId="25" fillId="0" borderId="2" xfId="0" applyNumberFormat="1" applyFont="1" applyBorder="1" applyAlignment="1">
      <alignment horizontal="center" vertical="center" readingOrder="2"/>
    </xf>
    <xf numFmtId="2" fontId="25" fillId="0" borderId="2" xfId="0" applyNumberFormat="1" applyFont="1" applyBorder="1" applyAlignment="1">
      <alignment horizontal="center" vertical="center" readingOrder="2"/>
    </xf>
    <xf numFmtId="4" fontId="25" fillId="0" borderId="2" xfId="0" applyNumberFormat="1" applyFont="1" applyBorder="1" applyAlignment="1">
      <alignment horizontal="center" vertical="center" readingOrder="2"/>
    </xf>
    <xf numFmtId="165" fontId="25" fillId="0" borderId="2" xfId="0" applyNumberFormat="1" applyFont="1" applyBorder="1" applyAlignment="1">
      <alignment horizontal="center" vertical="center" readingOrder="2"/>
    </xf>
    <xf numFmtId="0" fontId="70" fillId="0" borderId="0" xfId="0" applyFont="1" applyBorder="1"/>
    <xf numFmtId="9" fontId="25" fillId="0" borderId="2" xfId="2" applyFont="1" applyBorder="1" applyAlignment="1">
      <alignment horizontal="center" vertical="center"/>
    </xf>
    <xf numFmtId="9" fontId="25" fillId="0" borderId="2" xfId="2" applyFont="1" applyBorder="1" applyAlignment="1">
      <alignment horizontal="center" vertical="center" readingOrder="2"/>
    </xf>
    <xf numFmtId="3" fontId="11" fillId="0" borderId="0" xfId="0" applyNumberFormat="1" applyFont="1" applyBorder="1" applyAlignment="1">
      <alignment horizontal="center" vertical="center" readingOrder="1"/>
    </xf>
    <xf numFmtId="3" fontId="5" fillId="4" borderId="2" xfId="0" applyNumberFormat="1" applyFont="1" applyFill="1" applyBorder="1" applyAlignment="1">
      <alignment horizontal="right" vertical="center" readingOrder="2"/>
    </xf>
    <xf numFmtId="3" fontId="11" fillId="0" borderId="0" xfId="0" applyNumberFormat="1" applyFont="1" applyBorder="1" applyAlignment="1">
      <alignment horizontal="center" vertical="center" readingOrder="2"/>
    </xf>
    <xf numFmtId="4" fontId="11" fillId="0" borderId="0" xfId="0" applyNumberFormat="1" applyFont="1" applyBorder="1" applyAlignment="1">
      <alignment horizontal="center" vertical="center" readingOrder="2"/>
    </xf>
    <xf numFmtId="9" fontId="25" fillId="5" borderId="2" xfId="2" applyFont="1" applyFill="1" applyBorder="1" applyAlignment="1">
      <alignment horizontal="center" vertical="center"/>
    </xf>
    <xf numFmtId="9" fontId="25" fillId="0" borderId="0" xfId="2" applyFont="1" applyBorder="1" applyAlignment="1">
      <alignment horizontal="center" vertical="center"/>
    </xf>
    <xf numFmtId="3" fontId="21" fillId="10" borderId="2" xfId="0" applyNumberFormat="1" applyFont="1" applyFill="1" applyBorder="1" applyAlignment="1" applyProtection="1">
      <alignment horizontal="right" vertical="center" wrapText="1" readingOrder="2"/>
      <protection hidden="1"/>
    </xf>
    <xf numFmtId="3" fontId="31" fillId="2" borderId="0" xfId="0" applyNumberFormat="1" applyFont="1" applyFill="1" applyBorder="1" applyAlignment="1">
      <alignment horizontal="right" vertical="center" wrapText="1" readingOrder="1"/>
    </xf>
    <xf numFmtId="3" fontId="72" fillId="14" borderId="15" xfId="0" applyNumberFormat="1" applyFont="1" applyFill="1" applyBorder="1" applyAlignment="1">
      <alignment horizontal="right" vertical="center"/>
    </xf>
    <xf numFmtId="0" fontId="72" fillId="14" borderId="17" xfId="0" applyFont="1" applyFill="1" applyBorder="1" applyAlignment="1">
      <alignment horizontal="center" vertical="center"/>
    </xf>
    <xf numFmtId="0" fontId="0" fillId="14" borderId="14" xfId="0" applyFill="1" applyBorder="1" applyAlignment="1">
      <alignment horizontal="center"/>
    </xf>
    <xf numFmtId="0" fontId="49" fillId="14" borderId="14" xfId="0" applyFont="1" applyFill="1" applyBorder="1" applyAlignment="1">
      <alignment horizontal="center"/>
    </xf>
    <xf numFmtId="3" fontId="73" fillId="14" borderId="18" xfId="0" applyNumberFormat="1" applyFont="1" applyFill="1" applyBorder="1" applyAlignment="1">
      <alignment horizontal="center"/>
    </xf>
    <xf numFmtId="0" fontId="73" fillId="15" borderId="20" xfId="0" applyFont="1" applyFill="1" applyBorder="1" applyAlignment="1">
      <alignment horizontal="center" vertical="center"/>
    </xf>
    <xf numFmtId="3" fontId="73" fillId="14" borderId="21" xfId="0" applyNumberFormat="1" applyFont="1" applyFill="1" applyBorder="1" applyAlignment="1">
      <alignment horizontal="center"/>
    </xf>
    <xf numFmtId="0" fontId="74" fillId="14" borderId="22" xfId="0" applyFont="1" applyFill="1" applyBorder="1" applyAlignment="1">
      <alignment horizontal="center"/>
    </xf>
    <xf numFmtId="0" fontId="73" fillId="15" borderId="23" xfId="0" applyFont="1" applyFill="1" applyBorder="1" applyAlignment="1" applyProtection="1">
      <alignment horizontal="center" vertical="center"/>
      <protection locked="0"/>
    </xf>
    <xf numFmtId="0" fontId="0" fillId="14" borderId="14" xfId="0" applyFill="1" applyBorder="1"/>
    <xf numFmtId="3" fontId="71" fillId="14" borderId="14" xfId="0" applyNumberFormat="1" applyFont="1" applyFill="1" applyBorder="1" applyAlignment="1">
      <alignment horizontal="right" vertical="center"/>
    </xf>
    <xf numFmtId="3" fontId="72" fillId="14" borderId="16" xfId="0" applyNumberFormat="1" applyFont="1" applyFill="1" applyBorder="1" applyAlignment="1">
      <alignment horizontal="center" vertical="center"/>
    </xf>
    <xf numFmtId="165" fontId="72" fillId="14" borderId="24" xfId="0" applyNumberFormat="1" applyFont="1" applyFill="1" applyBorder="1" applyAlignment="1">
      <alignment horizontal="center" vertical="center"/>
    </xf>
    <xf numFmtId="3" fontId="72" fillId="14" borderId="24" xfId="0" applyNumberFormat="1" applyFont="1" applyFill="1" applyBorder="1" applyAlignment="1">
      <alignment horizontal="center" vertical="center"/>
    </xf>
    <xf numFmtId="0" fontId="74" fillId="14" borderId="19" xfId="0" applyFont="1" applyFill="1" applyBorder="1" applyAlignment="1">
      <alignment horizontal="center"/>
    </xf>
    <xf numFmtId="0" fontId="73" fillId="15" borderId="19" xfId="0" applyFont="1" applyFill="1" applyBorder="1" applyAlignment="1" applyProtection="1">
      <alignment horizontal="center" vertical="center"/>
      <protection locked="0"/>
    </xf>
    <xf numFmtId="0" fontId="76" fillId="14" borderId="25" xfId="0" applyFont="1" applyFill="1" applyBorder="1" applyAlignment="1">
      <alignment horizontal="center"/>
    </xf>
    <xf numFmtId="0" fontId="73" fillId="15" borderId="22" xfId="0" applyFont="1" applyFill="1" applyBorder="1" applyAlignment="1" applyProtection="1">
      <alignment horizontal="center" vertical="center"/>
      <protection locked="0"/>
    </xf>
    <xf numFmtId="0" fontId="76" fillId="14" borderId="26" xfId="0" applyFont="1" applyFill="1" applyBorder="1" applyAlignment="1">
      <alignment horizontal="center"/>
    </xf>
    <xf numFmtId="3" fontId="73" fillId="14" borderId="27" xfId="0" applyNumberFormat="1" applyFont="1" applyFill="1" applyBorder="1" applyAlignment="1">
      <alignment horizontal="center"/>
    </xf>
    <xf numFmtId="0" fontId="74" fillId="14" borderId="28" xfId="0" applyFont="1" applyFill="1" applyBorder="1" applyAlignment="1">
      <alignment horizontal="center"/>
    </xf>
    <xf numFmtId="0" fontId="73" fillId="15" borderId="28" xfId="0" applyFont="1" applyFill="1" applyBorder="1" applyAlignment="1" applyProtection="1">
      <alignment horizontal="center" vertical="center"/>
      <protection locked="0"/>
    </xf>
    <xf numFmtId="0" fontId="76" fillId="14" borderId="29" xfId="0" applyFont="1" applyFill="1" applyBorder="1" applyAlignment="1">
      <alignment horizontal="center"/>
    </xf>
    <xf numFmtId="3" fontId="3" fillId="14" borderId="14" xfId="0" applyNumberFormat="1" applyFont="1" applyFill="1" applyBorder="1" applyAlignment="1">
      <alignment horizontal="right" vertical="center" readingOrder="2"/>
    </xf>
    <xf numFmtId="3" fontId="3" fillId="14" borderId="14" xfId="0" applyNumberFormat="1" applyFont="1" applyFill="1" applyBorder="1" applyAlignment="1">
      <alignment horizontal="right" vertical="center" wrapText="1" readingOrder="2"/>
    </xf>
    <xf numFmtId="0" fontId="0" fillId="0" borderId="3" xfId="0" applyBorder="1" applyProtection="1">
      <protection hidden="1"/>
    </xf>
    <xf numFmtId="0" fontId="0" fillId="0" borderId="12" xfId="0" applyBorder="1" applyProtection="1">
      <protection hidden="1"/>
    </xf>
    <xf numFmtId="165" fontId="5" fillId="14" borderId="14" xfId="0" applyNumberFormat="1" applyFont="1" applyFill="1" applyBorder="1" applyAlignment="1">
      <alignment horizontal="right" vertical="center" readingOrder="2"/>
    </xf>
    <xf numFmtId="3" fontId="63" fillId="14" borderId="14" xfId="0" applyNumberFormat="1" applyFont="1" applyFill="1" applyBorder="1" applyAlignment="1">
      <alignment horizontal="center" vertical="center" readingOrder="2"/>
    </xf>
    <xf numFmtId="165" fontId="25" fillId="14" borderId="14" xfId="0" applyNumberFormat="1" applyFont="1" applyFill="1" applyBorder="1" applyAlignment="1">
      <alignment horizontal="center" vertical="center" readingOrder="2"/>
    </xf>
    <xf numFmtId="3" fontId="74" fillId="14" borderId="19" xfId="0" applyNumberFormat="1" applyFont="1" applyFill="1" applyBorder="1" applyAlignment="1">
      <alignment horizontal="right" vertical="center"/>
    </xf>
    <xf numFmtId="0" fontId="74" fillId="14" borderId="22" xfId="0" applyFont="1" applyFill="1" applyBorder="1" applyAlignment="1">
      <alignment horizontal="right" vertical="center"/>
    </xf>
    <xf numFmtId="0" fontId="74" fillId="14" borderId="19" xfId="0" applyFont="1" applyFill="1" applyBorder="1" applyAlignment="1">
      <alignment horizontal="right" vertical="center"/>
    </xf>
    <xf numFmtId="0" fontId="74" fillId="14" borderId="28" xfId="0" applyFont="1" applyFill="1" applyBorder="1" applyAlignment="1">
      <alignment horizontal="right" vertical="center"/>
    </xf>
    <xf numFmtId="3" fontId="5" fillId="0" borderId="14" xfId="0" applyNumberFormat="1" applyFont="1" applyBorder="1" applyAlignment="1">
      <alignment horizontal="center" vertical="center" readingOrder="2"/>
    </xf>
    <xf numFmtId="3" fontId="3" fillId="0" borderId="14" xfId="0" applyNumberFormat="1" applyFont="1" applyBorder="1" applyAlignment="1">
      <alignment horizontal="right" vertical="center" readingOrder="2"/>
    </xf>
    <xf numFmtId="165" fontId="5" fillId="0" borderId="14" xfId="0" applyNumberFormat="1" applyFont="1" applyBorder="1" applyAlignment="1">
      <alignment horizontal="right" vertical="center" readingOrder="2"/>
    </xf>
    <xf numFmtId="164" fontId="9" fillId="0" borderId="14" xfId="0" applyNumberFormat="1" applyFont="1" applyBorder="1" applyAlignment="1">
      <alignment horizontal="left" vertical="center"/>
    </xf>
    <xf numFmtId="3" fontId="3" fillId="0" borderId="14" xfId="0" applyNumberFormat="1" applyFont="1" applyBorder="1" applyAlignment="1">
      <alignment horizontal="center" vertical="center" readingOrder="2"/>
    </xf>
    <xf numFmtId="3" fontId="3" fillId="2" borderId="14" xfId="0" applyNumberFormat="1" applyFont="1" applyFill="1" applyBorder="1" applyAlignment="1">
      <alignment horizontal="right" vertical="center" readingOrder="2"/>
    </xf>
    <xf numFmtId="4" fontId="60" fillId="2" borderId="14" xfId="0" applyNumberFormat="1" applyFont="1" applyFill="1" applyBorder="1" applyAlignment="1">
      <alignment horizontal="center" vertical="center" readingOrder="1"/>
    </xf>
    <xf numFmtId="0" fontId="3" fillId="2" borderId="14" xfId="0" applyFont="1" applyFill="1" applyBorder="1" applyAlignment="1">
      <alignment vertical="center"/>
    </xf>
    <xf numFmtId="3" fontId="3" fillId="0" borderId="14" xfId="0" applyNumberFormat="1" applyFont="1" applyBorder="1" applyAlignment="1">
      <alignment horizontal="right" readingOrder="2"/>
    </xf>
    <xf numFmtId="164" fontId="16" fillId="0" borderId="14" xfId="0" applyNumberFormat="1" applyFont="1" applyBorder="1" applyAlignment="1">
      <alignment horizontal="left" vertical="center"/>
    </xf>
    <xf numFmtId="3" fontId="3" fillId="2" borderId="14" xfId="0" applyNumberFormat="1" applyFont="1" applyFill="1" applyBorder="1" applyAlignment="1">
      <alignment horizontal="center" vertical="center" wrapText="1" readingOrder="2"/>
    </xf>
    <xf numFmtId="3" fontId="47" fillId="0" borderId="14" xfId="0" applyNumberFormat="1" applyFont="1" applyBorder="1" applyAlignment="1">
      <alignment horizontal="right" vertical="center" readingOrder="2"/>
    </xf>
    <xf numFmtId="3" fontId="0" fillId="0" borderId="14" xfId="0" applyNumberFormat="1" applyBorder="1" applyAlignment="1">
      <alignment horizontal="right" vertical="center" readingOrder="2"/>
    </xf>
    <xf numFmtId="3" fontId="4" fillId="0" borderId="14" xfId="0" applyNumberFormat="1" applyFont="1" applyBorder="1" applyAlignment="1">
      <alignment horizontal="right" vertical="center" readingOrder="2"/>
    </xf>
    <xf numFmtId="0" fontId="49" fillId="0" borderId="14" xfId="0" applyFont="1" applyBorder="1" applyAlignment="1">
      <alignment horizontal="right" readingOrder="2"/>
    </xf>
    <xf numFmtId="3" fontId="4" fillId="7" borderId="22" xfId="0" applyNumberFormat="1" applyFont="1" applyFill="1" applyBorder="1" applyAlignment="1">
      <alignment horizontal="center" vertical="center" readingOrder="2"/>
    </xf>
    <xf numFmtId="3" fontId="1" fillId="4" borderId="22" xfId="0" applyNumberFormat="1" applyFont="1" applyFill="1" applyBorder="1" applyAlignment="1">
      <alignment horizontal="right" vertical="center" readingOrder="2"/>
    </xf>
    <xf numFmtId="165" fontId="44" fillId="0" borderId="14" xfId="0" applyNumberFormat="1" applyFont="1" applyBorder="1" applyAlignment="1">
      <alignment horizontal="right" vertical="center" readingOrder="2"/>
    </xf>
    <xf numFmtId="165" fontId="4" fillId="0" borderId="14" xfId="0" applyNumberFormat="1" applyFont="1" applyBorder="1" applyAlignment="1">
      <alignment horizontal="right" vertical="center" readingOrder="2"/>
    </xf>
    <xf numFmtId="0" fontId="5" fillId="0" borderId="14" xfId="0" applyFont="1" applyBorder="1" applyAlignment="1">
      <alignment horizontal="right"/>
    </xf>
    <xf numFmtId="3" fontId="5" fillId="0" borderId="14" xfId="0" applyNumberFormat="1" applyFont="1" applyBorder="1" applyAlignment="1">
      <alignment horizontal="center" readingOrder="2"/>
    </xf>
    <xf numFmtId="3" fontId="4" fillId="14" borderId="15" xfId="0" applyNumberFormat="1" applyFont="1" applyFill="1" applyBorder="1" applyAlignment="1">
      <alignment horizontal="right" vertical="center" readingOrder="2"/>
    </xf>
    <xf numFmtId="0" fontId="46" fillId="14" borderId="30" xfId="0" applyFont="1" applyFill="1" applyBorder="1" applyAlignment="1">
      <alignment horizontal="center" vertical="center"/>
    </xf>
    <xf numFmtId="0" fontId="74" fillId="14" borderId="10" xfId="0" applyFont="1" applyFill="1" applyBorder="1" applyAlignment="1">
      <alignment horizontal="right" vertical="center"/>
    </xf>
    <xf numFmtId="0" fontId="73" fillId="15" borderId="10" xfId="0" applyFont="1" applyFill="1" applyBorder="1" applyAlignment="1" applyProtection="1">
      <alignment horizontal="center" vertical="center"/>
      <protection locked="0"/>
    </xf>
    <xf numFmtId="0" fontId="74" fillId="14" borderId="10" xfId="0" applyFont="1" applyFill="1" applyBorder="1" applyAlignment="1">
      <alignment horizontal="center"/>
    </xf>
    <xf numFmtId="3" fontId="73" fillId="14" borderId="31" xfId="0" applyNumberFormat="1" applyFont="1" applyFill="1" applyBorder="1" applyAlignment="1">
      <alignment horizontal="center"/>
    </xf>
    <xf numFmtId="0" fontId="46" fillId="14" borderId="24" xfId="0" applyFont="1" applyFill="1" applyBorder="1" applyAlignment="1">
      <alignment vertical="center"/>
    </xf>
    <xf numFmtId="3" fontId="75" fillId="14" borderId="24" xfId="0" applyNumberFormat="1" applyFont="1" applyFill="1" applyBorder="1" applyAlignment="1">
      <alignment horizontal="center"/>
    </xf>
    <xf numFmtId="0" fontId="46" fillId="14" borderId="24" xfId="0" applyFont="1" applyFill="1" applyBorder="1" applyAlignment="1">
      <alignment horizontal="center" vertical="center"/>
    </xf>
    <xf numFmtId="165" fontId="29" fillId="2" borderId="7" xfId="0" applyNumberFormat="1" applyFont="1" applyFill="1" applyBorder="1" applyAlignment="1">
      <alignment horizontal="center" vertical="center" readingOrder="1"/>
    </xf>
    <xf numFmtId="3" fontId="5" fillId="2" borderId="14" xfId="0" applyNumberFormat="1" applyFont="1" applyFill="1" applyBorder="1" applyAlignment="1">
      <alignment horizontal="right" vertical="center" readingOrder="2"/>
    </xf>
    <xf numFmtId="49" fontId="3" fillId="2" borderId="14" xfId="0" applyNumberFormat="1" applyFont="1" applyFill="1" applyBorder="1" applyAlignment="1">
      <alignment horizontal="left" vertical="center" readingOrder="2"/>
    </xf>
    <xf numFmtId="4" fontId="13" fillId="2" borderId="14" xfId="0" applyNumberFormat="1" applyFont="1" applyFill="1" applyBorder="1" applyAlignment="1">
      <alignment horizontal="center" vertical="center" readingOrder="1"/>
    </xf>
    <xf numFmtId="0" fontId="48" fillId="0" borderId="14" xfId="0" applyFont="1" applyBorder="1" applyAlignment="1">
      <alignment horizontal="right" readingOrder="2"/>
    </xf>
    <xf numFmtId="0" fontId="5" fillId="0" borderId="14" xfId="0" applyFont="1" applyBorder="1" applyAlignment="1">
      <alignment horizontal="right" readingOrder="2"/>
    </xf>
    <xf numFmtId="0" fontId="36" fillId="0" borderId="14" xfId="0" applyFont="1" applyBorder="1" applyAlignment="1">
      <alignment horizontal="right" vertical="center" readingOrder="2"/>
    </xf>
    <xf numFmtId="4" fontId="5" fillId="0" borderId="14" xfId="0" applyNumberFormat="1" applyFont="1" applyBorder="1" applyAlignment="1">
      <alignment horizontal="right" vertical="center" readingOrder="2"/>
    </xf>
    <xf numFmtId="0" fontId="0" fillId="0" borderId="14" xfId="0" applyBorder="1" applyAlignment="1">
      <alignment vertical="center" wrapText="1"/>
    </xf>
    <xf numFmtId="164" fontId="4" fillId="2" borderId="14" xfId="0" applyNumberFormat="1" applyFont="1" applyFill="1" applyBorder="1" applyAlignment="1">
      <alignment horizontal="center" vertical="center"/>
    </xf>
    <xf numFmtId="3" fontId="5" fillId="0" borderId="14" xfId="0" applyNumberFormat="1" applyFont="1" applyBorder="1" applyAlignment="1">
      <alignment horizontal="right" vertical="center" readingOrder="2"/>
    </xf>
    <xf numFmtId="3" fontId="5" fillId="0" borderId="0" xfId="0" applyNumberFormat="1" applyFont="1" applyBorder="1" applyAlignment="1">
      <alignment horizontal="center" vertical="center" wrapText="1" readingOrder="2"/>
    </xf>
    <xf numFmtId="3" fontId="3" fillId="0" borderId="0" xfId="0" applyNumberFormat="1" applyFont="1" applyBorder="1" applyAlignment="1">
      <alignment horizontal="center" vertical="center" wrapText="1" readingOrder="2"/>
    </xf>
    <xf numFmtId="3" fontId="3" fillId="0" borderId="0" xfId="0" applyNumberFormat="1" applyFont="1" applyBorder="1" applyAlignment="1">
      <alignment horizontal="right" vertical="center" wrapText="1" readingOrder="2"/>
    </xf>
    <xf numFmtId="0" fontId="83" fillId="0" borderId="32" xfId="0" applyFont="1"/>
    <xf numFmtId="0" fontId="83" fillId="0" borderId="0" xfId="0" applyFont="1" applyBorder="1"/>
    <xf numFmtId="165" fontId="3" fillId="0" borderId="32" xfId="0" applyNumberFormat="1" applyFont="1" applyAlignment="1">
      <alignment horizontal="right" vertical="center" wrapText="1" readingOrder="2"/>
    </xf>
    <xf numFmtId="3" fontId="15" fillId="0" borderId="32" xfId="0" applyNumberFormat="1" applyFont="1" applyAlignment="1">
      <alignment horizontal="center" vertical="center" wrapText="1" readingOrder="2"/>
    </xf>
    <xf numFmtId="0" fontId="83" fillId="0" borderId="0" xfId="0" quotePrefix="1" applyFont="1" applyBorder="1"/>
    <xf numFmtId="165" fontId="14" fillId="0" borderId="32" xfId="0" applyNumberFormat="1" applyFont="1" applyAlignment="1">
      <alignment horizontal="center" vertical="center" wrapText="1" readingOrder="2"/>
    </xf>
    <xf numFmtId="3" fontId="39" fillId="0" borderId="0" xfId="0" applyNumberFormat="1" applyFont="1" applyBorder="1" applyAlignment="1">
      <alignment vertical="center" wrapText="1" readingOrder="2"/>
    </xf>
    <xf numFmtId="3" fontId="19" fillId="0" borderId="0" xfId="0" applyNumberFormat="1" applyFont="1" applyBorder="1" applyAlignment="1">
      <alignment vertical="center" wrapText="1" readingOrder="2"/>
    </xf>
    <xf numFmtId="3" fontId="4" fillId="0" borderId="32" xfId="0" applyNumberFormat="1" applyFont="1" applyAlignment="1">
      <alignment horizontal="right" vertical="center" wrapText="1" readingOrder="2"/>
    </xf>
    <xf numFmtId="0" fontId="0" fillId="0" borderId="32" xfId="0"/>
    <xf numFmtId="3" fontId="24" fillId="0" borderId="0" xfId="0" applyNumberFormat="1" applyFont="1" applyBorder="1" applyAlignment="1">
      <alignment horizontal="right" vertical="center" wrapText="1" readingOrder="2"/>
    </xf>
    <xf numFmtId="3" fontId="4" fillId="0" borderId="32" xfId="0" applyNumberFormat="1" applyFont="1" applyAlignment="1">
      <alignment horizontal="left" vertical="center" wrapText="1" readingOrder="2"/>
    </xf>
    <xf numFmtId="3" fontId="3" fillId="0" borderId="32" xfId="0" applyNumberFormat="1" applyFont="1" applyAlignment="1">
      <alignment horizontal="right" vertical="center" readingOrder="2"/>
    </xf>
    <xf numFmtId="0" fontId="71" fillId="0" borderId="32" xfId="0" applyFont="1" applyAlignment="1">
      <alignment horizontal="right" vertical="center" readingOrder="2"/>
    </xf>
    <xf numFmtId="49" fontId="3" fillId="0" borderId="32" xfId="0" applyNumberFormat="1" applyFont="1" applyAlignment="1">
      <alignment horizontal="left" vertical="center" readingOrder="2"/>
    </xf>
    <xf numFmtId="0" fontId="71" fillId="0" borderId="0" xfId="0" applyFont="1" applyBorder="1" applyAlignment="1">
      <alignment horizontal="right" vertical="center" readingOrder="2"/>
    </xf>
    <xf numFmtId="3" fontId="72" fillId="14" borderId="33" xfId="0" applyNumberFormat="1" applyFont="1" applyFill="1" applyBorder="1" applyAlignment="1">
      <alignment horizontal="right" vertical="center"/>
    </xf>
    <xf numFmtId="0" fontId="72" fillId="14" borderId="34" xfId="0" applyFont="1" applyFill="1" applyBorder="1" applyAlignment="1">
      <alignment horizontal="center" vertical="center"/>
    </xf>
    <xf numFmtId="0" fontId="72" fillId="14" borderId="35" xfId="0" applyFont="1" applyFill="1" applyBorder="1" applyAlignment="1">
      <alignment horizontal="center" vertical="center"/>
    </xf>
    <xf numFmtId="3" fontId="82" fillId="0" borderId="0" xfId="0" applyNumberFormat="1" applyFont="1" applyBorder="1" applyAlignment="1">
      <alignment horizontal="right" vertical="center" readingOrder="2"/>
    </xf>
    <xf numFmtId="165" fontId="2" fillId="4" borderId="2" xfId="0" applyNumberFormat="1" applyFont="1" applyFill="1" applyBorder="1" applyAlignment="1">
      <alignment horizontal="center" vertical="center" readingOrder="2"/>
    </xf>
    <xf numFmtId="3" fontId="3" fillId="14" borderId="36" xfId="0" applyNumberFormat="1" applyFont="1" applyFill="1" applyBorder="1" applyAlignment="1">
      <alignment horizontal="right" vertical="center" readingOrder="2"/>
    </xf>
    <xf numFmtId="3" fontId="3" fillId="14" borderId="37" xfId="0" applyNumberFormat="1" applyFont="1" applyFill="1" applyBorder="1" applyAlignment="1">
      <alignment horizontal="left" vertical="center" readingOrder="2"/>
    </xf>
    <xf numFmtId="0" fontId="75" fillId="14" borderId="38" xfId="0" applyFont="1" applyFill="1" applyBorder="1" applyAlignment="1">
      <alignment horizontal="center"/>
    </xf>
    <xf numFmtId="3" fontId="71" fillId="0" borderId="32" xfId="0" applyNumberFormat="1" applyFont="1" applyAlignment="1">
      <alignment horizontal="right" vertical="center"/>
    </xf>
    <xf numFmtId="0" fontId="0" fillId="0" borderId="32" xfId="0" applyAlignment="1">
      <alignment horizontal="center"/>
    </xf>
    <xf numFmtId="0" fontId="49" fillId="0" borderId="32" xfId="0" applyFont="1" applyAlignment="1">
      <alignment horizontal="center"/>
    </xf>
    <xf numFmtId="3" fontId="5" fillId="0" borderId="14" xfId="0" applyNumberFormat="1" applyFont="1" applyBorder="1" applyAlignment="1">
      <alignment vertical="center" readingOrder="2"/>
    </xf>
    <xf numFmtId="3" fontId="5" fillId="0" borderId="0" xfId="0" applyNumberFormat="1" applyFont="1" applyBorder="1" applyAlignment="1">
      <alignment vertical="center" readingOrder="2"/>
    </xf>
    <xf numFmtId="165" fontId="14" fillId="3" borderId="4" xfId="0" applyNumberFormat="1" applyFont="1" applyFill="1" applyBorder="1" applyAlignment="1">
      <alignment horizontal="center" vertical="center" readingOrder="2"/>
    </xf>
    <xf numFmtId="3" fontId="3" fillId="0" borderId="41" xfId="0" applyNumberFormat="1" applyFont="1" applyBorder="1" applyAlignment="1">
      <alignment horizontal="center" vertical="center" readingOrder="2"/>
    </xf>
    <xf numFmtId="164" fontId="16" fillId="0" borderId="0" xfId="0" applyNumberFormat="1" applyFont="1" applyBorder="1" applyAlignment="1">
      <alignment horizontal="left" vertical="center" readingOrder="1"/>
    </xf>
    <xf numFmtId="3" fontId="11" fillId="7" borderId="40" xfId="0" applyNumberFormat="1" applyFont="1" applyFill="1" applyBorder="1" applyAlignment="1">
      <alignment horizontal="center" vertical="center" readingOrder="2"/>
    </xf>
    <xf numFmtId="3" fontId="26" fillId="0" borderId="0" xfId="0" applyNumberFormat="1" applyFont="1" applyBorder="1" applyAlignment="1">
      <alignment horizontal="right" vertical="center" readingOrder="2"/>
    </xf>
    <xf numFmtId="3" fontId="4" fillId="7" borderId="40" xfId="0" applyNumberFormat="1" applyFont="1" applyFill="1" applyBorder="1" applyAlignment="1">
      <alignment horizontal="center" vertical="center" readingOrder="2"/>
    </xf>
    <xf numFmtId="0" fontId="49" fillId="0" borderId="14" xfId="0" applyFont="1" applyBorder="1" applyAlignment="1">
      <alignment horizontal="right" vertical="center" readingOrder="2"/>
    </xf>
    <xf numFmtId="0" fontId="48" fillId="0" borderId="14" xfId="0" applyFont="1" applyBorder="1" applyAlignment="1">
      <alignment horizontal="right" vertical="center" readingOrder="2"/>
    </xf>
    <xf numFmtId="165" fontId="2" fillId="4" borderId="22" xfId="0" applyNumberFormat="1" applyFont="1" applyFill="1" applyBorder="1" applyAlignment="1">
      <alignment horizontal="center" vertical="center"/>
    </xf>
    <xf numFmtId="0" fontId="77" fillId="0" borderId="14" xfId="0" applyFont="1" applyBorder="1" applyAlignment="1">
      <alignment horizontal="right" readingOrder="2"/>
    </xf>
    <xf numFmtId="0" fontId="78" fillId="0" borderId="14" xfId="1" applyFont="1" applyBorder="1" applyAlignment="1">
      <alignment horizontal="right" vertical="center" readingOrder="2"/>
    </xf>
    <xf numFmtId="3" fontId="7" fillId="0" borderId="0" xfId="0" applyNumberFormat="1" applyFont="1" applyBorder="1" applyAlignment="1">
      <alignment horizontal="center" vertical="center" readingOrder="2"/>
    </xf>
    <xf numFmtId="3" fontId="2" fillId="4" borderId="2" xfId="0" applyNumberFormat="1" applyFont="1" applyFill="1" applyBorder="1" applyAlignment="1">
      <alignment horizontal="center" vertical="center" readingOrder="2"/>
    </xf>
    <xf numFmtId="3" fontId="19" fillId="0" borderId="0" xfId="0" applyNumberFormat="1" applyFont="1" applyBorder="1" applyAlignment="1">
      <alignment horizontal="center" vertical="center" indent="1" readingOrder="2"/>
    </xf>
    <xf numFmtId="3" fontId="27" fillId="0" borderId="0" xfId="0" applyNumberFormat="1" applyFont="1" applyBorder="1" applyAlignment="1">
      <alignment vertical="center" readingOrder="2"/>
    </xf>
    <xf numFmtId="165" fontId="17" fillId="16" borderId="39" xfId="0" applyNumberFormat="1" applyFont="1" applyFill="1" applyBorder="1" applyAlignment="1">
      <alignment horizontal="center" vertical="center" readingOrder="2"/>
    </xf>
    <xf numFmtId="0" fontId="46" fillId="0" borderId="0" xfId="0" applyFont="1" applyBorder="1" applyAlignment="1">
      <alignment horizontal="center" vertical="center"/>
    </xf>
    <xf numFmtId="165" fontId="4" fillId="0" borderId="0" xfId="0" applyNumberFormat="1" applyFont="1" applyBorder="1" applyAlignment="1">
      <alignment horizontal="center" vertical="center" readingOrder="2"/>
    </xf>
    <xf numFmtId="3" fontId="79" fillId="0" borderId="0" xfId="0" applyNumberFormat="1" applyFont="1" applyBorder="1" applyAlignment="1">
      <alignment vertical="center" readingOrder="2"/>
    </xf>
    <xf numFmtId="3" fontId="7" fillId="0" borderId="0" xfId="0" applyNumberFormat="1" applyFont="1" applyBorder="1" applyAlignment="1">
      <alignment horizontal="left" vertical="center" readingOrder="1"/>
    </xf>
    <xf numFmtId="3" fontId="5" fillId="0" borderId="0" xfId="0" applyNumberFormat="1" applyFont="1" applyBorder="1" applyAlignment="1">
      <alignment horizontal="center" vertical="center" indent="1" readingOrder="2"/>
    </xf>
    <xf numFmtId="4" fontId="11" fillId="5" borderId="40" xfId="0" applyNumberFormat="1" applyFont="1" applyFill="1" applyBorder="1" applyAlignment="1">
      <alignment horizontal="center" vertical="center" readingOrder="2"/>
    </xf>
    <xf numFmtId="3" fontId="7" fillId="2" borderId="41" xfId="0" applyNumberFormat="1" applyFont="1" applyFill="1" applyBorder="1" applyAlignment="1">
      <alignment horizontal="center" vertical="center" readingOrder="2"/>
    </xf>
    <xf numFmtId="3" fontId="19" fillId="0" borderId="0" xfId="0" applyNumberFormat="1" applyFont="1" applyBorder="1" applyAlignment="1">
      <alignment horizontal="center" indent="1" readingOrder="2"/>
    </xf>
    <xf numFmtId="3" fontId="5" fillId="0" borderId="0" xfId="0" applyNumberFormat="1" applyFont="1" applyBorder="1" applyAlignment="1">
      <alignment horizontal="center" indent="1" readingOrder="2"/>
    </xf>
    <xf numFmtId="3" fontId="11" fillId="5" borderId="40" xfId="0" applyNumberFormat="1" applyFont="1" applyFill="1" applyBorder="1" applyAlignment="1">
      <alignment horizontal="center" vertical="center" readingOrder="1"/>
    </xf>
    <xf numFmtId="3" fontId="11" fillId="4" borderId="2" xfId="0" applyNumberFormat="1" applyFont="1" applyFill="1" applyBorder="1" applyAlignment="1">
      <alignment horizontal="center" vertical="center" readingOrder="2"/>
    </xf>
    <xf numFmtId="3" fontId="68" fillId="0" borderId="0" xfId="0" applyNumberFormat="1" applyFont="1" applyBorder="1" applyAlignment="1">
      <alignment horizontal="center" indent="1" readingOrder="2"/>
    </xf>
    <xf numFmtId="164" fontId="9" fillId="0" borderId="41" xfId="0" applyNumberFormat="1" applyFont="1" applyBorder="1" applyAlignment="1">
      <alignment horizontal="left" vertical="center"/>
    </xf>
    <xf numFmtId="3" fontId="81" fillId="0" borderId="0" xfId="0" applyNumberFormat="1" applyFont="1" applyBorder="1" applyAlignment="1">
      <alignment horizontal="center" indent="1" readingOrder="2"/>
    </xf>
    <xf numFmtId="3" fontId="80" fillId="0" borderId="0" xfId="0" applyNumberFormat="1" applyFont="1" applyBorder="1" applyAlignment="1">
      <alignment vertical="center" readingOrder="2"/>
    </xf>
    <xf numFmtId="3" fontId="5" fillId="0" borderId="0" xfId="0" applyNumberFormat="1" applyFont="1" applyBorder="1" applyAlignment="1">
      <alignment horizontal="right" vertical="center" wrapText="1" readingOrder="2"/>
    </xf>
    <xf numFmtId="3" fontId="67" fillId="0" borderId="0" xfId="0" applyNumberFormat="1" applyFont="1" applyBorder="1" applyAlignment="1">
      <alignment horizontal="right" vertical="center" readingOrder="2"/>
    </xf>
    <xf numFmtId="3" fontId="19" fillId="0" borderId="0" xfId="0" applyNumberFormat="1" applyFont="1" applyBorder="1" applyAlignment="1">
      <alignment horizontal="center" vertical="center" readingOrder="2"/>
    </xf>
    <xf numFmtId="3" fontId="68" fillId="0" borderId="0" xfId="0" applyNumberFormat="1" applyFont="1" applyBorder="1" applyAlignment="1">
      <alignment horizontal="right" vertical="center" readingOrder="2"/>
    </xf>
    <xf numFmtId="3" fontId="81" fillId="0" borderId="0" xfId="0" applyNumberFormat="1" applyFont="1" applyBorder="1" applyAlignment="1">
      <alignment horizontal="center" vertical="center" readingOrder="2"/>
    </xf>
    <xf numFmtId="3" fontId="3" fillId="2" borderId="0" xfId="0" applyNumberFormat="1" applyFont="1" applyFill="1" applyBorder="1" applyAlignment="1">
      <alignment horizontal="right" vertical="center" wrapText="1" readingOrder="2"/>
    </xf>
    <xf numFmtId="0" fontId="0" fillId="0" borderId="0" xfId="0" applyBorder="1" applyProtection="1">
      <protection hidden="1"/>
    </xf>
    <xf numFmtId="169" fontId="14" fillId="3" borderId="4" xfId="0" applyNumberFormat="1" applyFont="1" applyFill="1" applyBorder="1" applyAlignment="1">
      <alignment horizontal="center" vertical="center" readingOrder="2"/>
    </xf>
    <xf numFmtId="169" fontId="46" fillId="0" borderId="0" xfId="0" applyNumberFormat="1" applyFont="1" applyBorder="1" applyAlignment="1">
      <alignment horizontal="right" vertical="top"/>
    </xf>
    <xf numFmtId="166" fontId="4" fillId="9" borderId="2" xfId="0" applyNumberFormat="1" applyFont="1" applyFill="1" applyBorder="1" applyAlignment="1">
      <alignment horizontal="center" vertical="center"/>
    </xf>
    <xf numFmtId="169" fontId="14" fillId="3" borderId="4" xfId="0" applyNumberFormat="1" applyFont="1" applyFill="1" applyBorder="1" applyAlignment="1">
      <alignment horizontal="center" vertical="center" readingOrder="1"/>
    </xf>
    <xf numFmtId="169" fontId="14" fillId="17" borderId="4" xfId="0" applyNumberFormat="1" applyFont="1" applyFill="1" applyBorder="1" applyAlignment="1">
      <alignment horizontal="center" vertical="center" readingOrder="2"/>
    </xf>
    <xf numFmtId="169" fontId="17" fillId="16" borderId="42" xfId="0" applyNumberFormat="1" applyFont="1" applyFill="1" applyBorder="1" applyAlignment="1">
      <alignment horizontal="center" vertical="center" readingOrder="2"/>
    </xf>
    <xf numFmtId="169" fontId="17" fillId="16" borderId="39" xfId="0" applyNumberFormat="1" applyFont="1" applyFill="1" applyBorder="1" applyAlignment="1">
      <alignment horizontal="center" vertical="center" readingOrder="2"/>
    </xf>
    <xf numFmtId="169" fontId="25" fillId="5" borderId="2" xfId="0" applyNumberFormat="1" applyFont="1" applyFill="1" applyBorder="1" applyAlignment="1">
      <alignment horizontal="center" vertical="center" readingOrder="2"/>
    </xf>
    <xf numFmtId="169" fontId="25" fillId="0" borderId="0" xfId="0" applyNumberFormat="1" applyFont="1" applyBorder="1" applyAlignment="1">
      <alignment horizontal="center" vertical="center" readingOrder="2"/>
    </xf>
    <xf numFmtId="169" fontId="17" fillId="0" borderId="0" xfId="0" applyNumberFormat="1" applyFont="1" applyBorder="1" applyAlignment="1">
      <alignment horizontal="center" vertical="center" wrapText="1" readingOrder="1"/>
    </xf>
    <xf numFmtId="169" fontId="25" fillId="5" borderId="40" xfId="0" applyNumberFormat="1" applyFont="1" applyFill="1" applyBorder="1" applyAlignment="1">
      <alignment horizontal="center" vertical="center" readingOrder="2"/>
    </xf>
    <xf numFmtId="168" fontId="21" fillId="10" borderId="2" xfId="0" applyNumberFormat="1" applyFont="1" applyFill="1" applyBorder="1" applyAlignment="1" applyProtection="1">
      <alignment horizontal="center" vertical="center" wrapText="1" readingOrder="2"/>
      <protection hidden="1"/>
    </xf>
    <xf numFmtId="167" fontId="21" fillId="10" borderId="2" xfId="0" applyNumberFormat="1" applyFont="1" applyFill="1" applyBorder="1" applyAlignment="1" applyProtection="1">
      <alignment horizontal="center" vertical="center" wrapText="1" readingOrder="2"/>
      <protection hidden="1"/>
    </xf>
    <xf numFmtId="167" fontId="66" fillId="13" borderId="13" xfId="0" applyNumberFormat="1" applyFont="1" applyFill="1" applyBorder="1" applyAlignment="1">
      <alignment horizontal="left" vertical="center" readingOrder="2"/>
    </xf>
    <xf numFmtId="167" fontId="66" fillId="13" borderId="13" xfId="0" applyNumberFormat="1" applyFont="1" applyFill="1" applyBorder="1" applyAlignment="1">
      <alignment horizontal="right" vertical="center" readingOrder="2"/>
    </xf>
    <xf numFmtId="169" fontId="46" fillId="0" borderId="0" xfId="0" applyNumberFormat="1" applyFont="1" applyBorder="1" applyAlignment="1">
      <alignment horizontal="right" vertical="center" readingOrder="2"/>
    </xf>
    <xf numFmtId="166" fontId="4" fillId="2" borderId="2" xfId="0" applyNumberFormat="1" applyFont="1" applyFill="1" applyBorder="1" applyAlignment="1">
      <alignment horizontal="center" vertical="center"/>
    </xf>
    <xf numFmtId="169" fontId="25" fillId="0" borderId="2" xfId="0" applyNumberFormat="1" applyFont="1" applyBorder="1" applyAlignment="1">
      <alignment horizontal="center" vertical="center" readingOrder="2"/>
    </xf>
    <xf numFmtId="0" fontId="0" fillId="0" borderId="32" xfId="0" applyBorder="1" applyAlignment="1">
      <alignment vertical="center" wrapText="1"/>
    </xf>
    <xf numFmtId="3" fontId="5" fillId="0" borderId="32" xfId="0" applyNumberFormat="1" applyFont="1" applyBorder="1" applyAlignment="1">
      <alignment horizontal="center" vertical="center" readingOrder="2"/>
    </xf>
    <xf numFmtId="169" fontId="46" fillId="0" borderId="32" xfId="0" applyNumberFormat="1" applyFont="1" applyBorder="1" applyAlignment="1">
      <alignment horizontal="right" vertical="center" readingOrder="2"/>
    </xf>
    <xf numFmtId="165" fontId="5" fillId="0" borderId="32" xfId="0" applyNumberFormat="1" applyFont="1" applyBorder="1" applyAlignment="1">
      <alignment horizontal="right" vertical="center" readingOrder="2"/>
    </xf>
    <xf numFmtId="164" fontId="9" fillId="2" borderId="32" xfId="0" applyNumberFormat="1" applyFont="1" applyFill="1" applyBorder="1" applyAlignment="1">
      <alignment horizontal="left" vertical="center"/>
    </xf>
    <xf numFmtId="166" fontId="4" fillId="2" borderId="32" xfId="0" applyNumberFormat="1" applyFont="1" applyFill="1" applyBorder="1" applyAlignment="1">
      <alignment horizontal="center" vertical="center"/>
    </xf>
    <xf numFmtId="165" fontId="4" fillId="0" borderId="32" xfId="0" applyNumberFormat="1" applyFont="1" applyBorder="1" applyAlignment="1">
      <alignment horizontal="right" vertical="center" readingOrder="2"/>
    </xf>
    <xf numFmtId="3" fontId="3" fillId="0" borderId="32" xfId="0" applyNumberFormat="1" applyFont="1" applyBorder="1" applyAlignment="1">
      <alignment horizontal="right" vertical="center" readingOrder="2"/>
    </xf>
    <xf numFmtId="164" fontId="9" fillId="0" borderId="32" xfId="0" applyNumberFormat="1" applyFont="1" applyBorder="1" applyAlignment="1">
      <alignment horizontal="left" vertical="center"/>
    </xf>
    <xf numFmtId="0" fontId="64" fillId="11" borderId="2" xfId="0" applyFont="1" applyFill="1" applyBorder="1" applyAlignment="1">
      <alignment horizontal="center" readingOrder="1"/>
    </xf>
    <xf numFmtId="0" fontId="0" fillId="0" borderId="3" xfId="0" applyBorder="1"/>
    <xf numFmtId="0" fontId="0" fillId="0" borderId="12" xfId="0" applyBorder="1"/>
    <xf numFmtId="3" fontId="64" fillId="13" borderId="2" xfId="0" applyNumberFormat="1" applyFont="1" applyFill="1" applyBorder="1" applyAlignment="1">
      <alignment horizontal="center" vertical="center" readingOrder="2"/>
    </xf>
    <xf numFmtId="0" fontId="64" fillId="11" borderId="2" xfId="0" applyFont="1" applyFill="1" applyBorder="1" applyAlignment="1">
      <alignment horizontal="center" readingOrder="2"/>
    </xf>
    <xf numFmtId="3" fontId="3" fillId="0" borderId="32" xfId="0" applyNumberFormat="1" applyFont="1" applyAlignment="1">
      <alignment horizontal="center" vertical="center" wrapText="1" readingOrder="2"/>
    </xf>
    <xf numFmtId="3" fontId="3" fillId="0" borderId="0" xfId="0" applyNumberFormat="1" applyFont="1" applyBorder="1" applyAlignment="1">
      <alignment horizontal="right" vertical="center" wrapText="1" readingOrder="2"/>
    </xf>
    <xf numFmtId="3" fontId="3" fillId="0" borderId="0" xfId="0" applyNumberFormat="1" applyFont="1" applyBorder="1" applyAlignment="1">
      <alignment horizontal="center" vertical="center" wrapText="1" readingOrder="2"/>
    </xf>
    <xf numFmtId="3" fontId="62" fillId="13" borderId="2" xfId="0" applyNumberFormat="1" applyFont="1" applyFill="1" applyBorder="1" applyAlignment="1">
      <alignment horizontal="right" vertical="center" readingOrder="2"/>
    </xf>
    <xf numFmtId="3" fontId="21" fillId="0" borderId="32" xfId="0" applyNumberFormat="1" applyFont="1" applyAlignment="1" applyProtection="1">
      <alignment vertical="center" wrapText="1" readingOrder="2"/>
      <protection hidden="1"/>
    </xf>
    <xf numFmtId="0" fontId="0" fillId="0" borderId="0" xfId="0" applyBorder="1" applyProtection="1">
      <protection hidden="1"/>
    </xf>
    <xf numFmtId="3" fontId="4" fillId="0" borderId="32" xfId="0" applyNumberFormat="1" applyFont="1" applyAlignment="1">
      <alignment horizontal="center" vertical="center" wrapText="1" readingOrder="2"/>
    </xf>
    <xf numFmtId="3" fontId="5" fillId="0" borderId="0" xfId="0" applyNumberFormat="1" applyFont="1" applyBorder="1" applyAlignment="1">
      <alignment horizontal="center" vertical="center" wrapText="1" readingOrder="2"/>
    </xf>
    <xf numFmtId="3" fontId="65" fillId="13" borderId="2" xfId="0" applyNumberFormat="1" applyFont="1" applyFill="1" applyBorder="1" applyAlignment="1">
      <alignment horizontal="center" vertical="center" readingOrder="2"/>
    </xf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(Main!$B$6,Main!$C$8,Main!$C$10,Main!$C$12,Main!$C$14,Main!$C$16,Main!$C$18,Main!$C$20,Main!$C$22,Main!$C$24,Main!$C$26)</c:f>
              <c:strCache>
                <c:ptCount val="8"/>
                <c:pt idx="0">
                  <c:v>דירוג הרייטינג היחסי הכולל</c:v>
                </c:pt>
                <c:pt idx="1">
                  <c:v>מדדים תעריפיים</c:v>
                </c:pt>
                <c:pt idx="2">
                  <c:v>ערכיות רב-שכבתית</c:v>
                </c:pt>
                <c:pt idx="3">
                  <c:v>גודל ופריסה</c:v>
                </c:pt>
                <c:pt idx="4">
                  <c:v>רמת שירות וממשקים</c:v>
                </c:pt>
                <c:pt idx="5">
                  <c:v>אמינות ושקיפות</c:v>
                </c:pt>
                <c:pt idx="6">
                  <c:v>סייבר ושמירת פרטיות</c:v>
                </c:pt>
                <c:pt idx="7">
                  <c:v>נוכחות דיגיטלית</c:v>
                </c:pt>
              </c:strCache>
            </c:strRef>
          </c:cat>
          <c:val>
            <c:numRef>
              <c:f>(Main!$I$6,Main!$I$8,Main!$I$10,Main!$I$12,Main!$I$14,Main!$I$16,Main!$I$18,Main!$I$20,Main!$I$22,Main!$I$24,Main!$I$26)</c:f>
              <c:numCache>
                <c:formatCode>#,##0.0</c:formatCode>
                <c:ptCount val="8"/>
                <c:pt idx="0">
                  <c:v>3.150699661128415</c:v>
                </c:pt>
                <c:pt idx="1">
                  <c:v>4.9330357142857144</c:v>
                </c:pt>
                <c:pt idx="2">
                  <c:v>2.91044776119403</c:v>
                </c:pt>
                <c:pt idx="3">
                  <c:v>2.019278606965174</c:v>
                </c:pt>
                <c:pt idx="4">
                  <c:v>1.25</c:v>
                </c:pt>
                <c:pt idx="5">
                  <c:v>3.6</c:v>
                </c:pt>
                <c:pt idx="6">
                  <c:v>3.75</c:v>
                </c:pt>
                <c:pt idx="7">
                  <c:v>3.9121419020145018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0E-4440-AE78-A9D5082714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5456320"/>
        <c:axId val="515455336"/>
      </c:radarChart>
      <c:catAx>
        <c:axId val="515456320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515455336"/>
        <c:crosses val="autoZero"/>
        <c:auto val="1"/>
        <c:lblAlgn val="ctr"/>
        <c:lblOffset val="100"/>
        <c:noMultiLvlLbl val="0"/>
      </c:catAx>
      <c:valAx>
        <c:axId val="515455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#,##0.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515456320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2271156</xdr:colOff>
      <xdr:row>4</xdr:row>
      <xdr:rowOff>97559</xdr:rowOff>
    </xdr:from>
    <xdr:to>
      <xdr:col>9</xdr:col>
      <xdr:colOff>46182</xdr:colOff>
      <xdr:row>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C000"/>
  </sheetPr>
  <dimension ref="A1:V288"/>
  <sheetViews>
    <sheetView showGridLines="0" rightToLeft="1" topLeftCell="A73" zoomScale="55" zoomScaleNormal="55" workbookViewId="0">
      <selection activeCell="I74" sqref="I74"/>
    </sheetView>
  </sheetViews>
  <sheetFormatPr defaultColWidth="9" defaultRowHeight="16.5" x14ac:dyDescent="0.3"/>
  <cols>
    <col min="1" max="1" width="3.25" style="286" customWidth="1"/>
    <col min="2" max="2" width="11.4140625" style="48" customWidth="1"/>
    <col min="3" max="3" width="6.33203125" style="48" customWidth="1"/>
    <col min="4" max="4" width="6.75" style="284" customWidth="1"/>
    <col min="5" max="5" width="6" style="285" customWidth="1"/>
    <col min="6" max="6" width="13.6640625" style="285" customWidth="1"/>
    <col min="7" max="7" width="26.08203125" style="285" customWidth="1"/>
    <col min="8" max="8" width="29.75" style="286" customWidth="1"/>
    <col min="9" max="9" width="12.9140625" style="285" customWidth="1"/>
    <col min="10" max="11" width="9.25" style="286" customWidth="1"/>
    <col min="12" max="12" width="34.33203125" style="286" customWidth="1"/>
    <col min="13" max="13" width="9.25" style="286" customWidth="1"/>
    <col min="14" max="14" width="6.1640625" customWidth="1"/>
    <col min="15" max="15" width="16.58203125" style="285" bestFit="1" customWidth="1"/>
    <col min="16" max="16" width="9.9140625" style="285" bestFit="1" customWidth="1"/>
    <col min="17" max="17" width="11" style="13" bestFit="1" customWidth="1"/>
    <col min="18" max="18" width="3.08203125" style="13" bestFit="1" customWidth="1"/>
    <col min="19" max="19" width="19.4140625" style="352" customWidth="1"/>
    <col min="20" max="20" width="46.4140625" style="8" customWidth="1"/>
    <col min="21" max="21" width="6.25" style="129" customWidth="1"/>
    <col min="22" max="22" width="3.25" style="352" customWidth="1"/>
    <col min="23" max="27" width="9" style="352" customWidth="1"/>
    <col min="28" max="16384" width="9" style="352"/>
  </cols>
  <sheetData>
    <row r="1" spans="1:22" s="3" customFormat="1" ht="15" customHeight="1" x14ac:dyDescent="0.3">
      <c r="A1" s="31"/>
      <c r="B1" s="47"/>
      <c r="C1" s="47"/>
      <c r="D1" s="13"/>
      <c r="E1" s="13"/>
      <c r="F1" s="13"/>
      <c r="G1" s="13"/>
      <c r="H1" s="352"/>
      <c r="I1" s="13"/>
      <c r="J1" s="352"/>
      <c r="K1" s="352"/>
      <c r="L1" s="352"/>
      <c r="M1" s="352"/>
      <c r="N1" s="13"/>
      <c r="O1" s="13"/>
      <c r="P1" s="13"/>
      <c r="U1" s="129"/>
    </row>
    <row r="2" spans="1:22" s="3" customFormat="1" ht="25" customHeight="1" x14ac:dyDescent="0.3">
      <c r="A2" s="30"/>
      <c r="B2" s="162" t="s">
        <v>0</v>
      </c>
      <c r="C2" s="89"/>
      <c r="D2" s="89"/>
      <c r="E2" s="114"/>
      <c r="F2" s="114"/>
      <c r="G2" s="114"/>
      <c r="H2" s="114" t="s">
        <v>1</v>
      </c>
      <c r="I2" s="152">
        <v>628</v>
      </c>
      <c r="J2" s="93" t="s">
        <v>2</v>
      </c>
      <c r="K2" s="93"/>
      <c r="L2" s="93"/>
      <c r="M2" s="93"/>
      <c r="N2" s="94"/>
      <c r="O2" s="94"/>
      <c r="P2" s="89"/>
      <c r="T2" s="7"/>
      <c r="U2" s="129"/>
    </row>
    <row r="3" spans="1:22" s="3" customFormat="1" ht="8" customHeight="1" x14ac:dyDescent="0.3">
      <c r="A3" s="32"/>
      <c r="B3" s="74"/>
      <c r="C3" s="90"/>
      <c r="D3" s="90"/>
      <c r="E3" s="95"/>
      <c r="F3" s="95"/>
      <c r="G3" s="95"/>
      <c r="H3" s="96"/>
      <c r="I3" s="42"/>
      <c r="J3" s="15"/>
      <c r="K3" s="15"/>
      <c r="L3" s="15"/>
      <c r="M3" s="15"/>
      <c r="N3" s="42"/>
      <c r="O3" s="42"/>
      <c r="P3" s="42"/>
      <c r="T3" s="7"/>
      <c r="U3" s="129"/>
    </row>
    <row r="4" spans="1:22" ht="19.5" customHeight="1" x14ac:dyDescent="0.3">
      <c r="A4" s="32"/>
      <c r="B4" s="163" t="s">
        <v>3</v>
      </c>
      <c r="C4" s="91"/>
      <c r="D4" s="91"/>
      <c r="E4" s="97"/>
      <c r="F4" s="97" t="s">
        <v>4</v>
      </c>
      <c r="G4" s="98" t="s">
        <v>5</v>
      </c>
      <c r="H4" s="98" t="s">
        <v>6</v>
      </c>
      <c r="I4" s="99"/>
      <c r="J4" s="100" t="s">
        <v>7</v>
      </c>
      <c r="K4" s="100"/>
      <c r="L4" s="100"/>
      <c r="M4" s="100"/>
      <c r="N4" s="101"/>
      <c r="O4" s="91"/>
      <c r="P4" s="91"/>
      <c r="T4" s="167" t="s">
        <v>8</v>
      </c>
    </row>
    <row r="5" spans="1:22" ht="88.5" customHeight="1" thickBot="1" x14ac:dyDescent="0.35">
      <c r="A5" s="32"/>
      <c r="B5" s="92"/>
      <c r="C5" s="92"/>
      <c r="D5" s="115"/>
      <c r="E5" s="116"/>
      <c r="F5" s="116"/>
      <c r="H5" s="153" t="s">
        <v>9</v>
      </c>
      <c r="I5" s="117"/>
      <c r="J5" s="118"/>
      <c r="K5" s="118"/>
      <c r="L5" s="118"/>
      <c r="M5" s="118"/>
      <c r="N5" s="119"/>
      <c r="O5" s="92"/>
      <c r="P5" s="92"/>
      <c r="T5" s="168" t="s">
        <v>10</v>
      </c>
      <c r="U5" s="130"/>
    </row>
    <row r="6" spans="1:22" s="3" customFormat="1" ht="39.5" customHeight="1" thickBot="1" x14ac:dyDescent="0.35">
      <c r="A6" s="33"/>
      <c r="B6" s="88" t="s">
        <v>11</v>
      </c>
      <c r="D6" s="352"/>
      <c r="G6" s="133" t="s">
        <v>12</v>
      </c>
      <c r="H6" s="154" t="s">
        <v>13</v>
      </c>
      <c r="I6" s="77">
        <f ca="1">(I8*H8 + I10*H10 + I12*H12 + I14*H14 + I16*H16 + I18*H18 + I22*H22)/SUM(H8,H10,H12,H14,H16,H18,H20,H22)</f>
        <v>3.150699661128415</v>
      </c>
      <c r="J6" s="49"/>
      <c r="K6" s="287"/>
      <c r="L6" s="287"/>
      <c r="M6" s="287"/>
      <c r="N6" s="287"/>
      <c r="R6" s="86"/>
      <c r="S6" s="85"/>
      <c r="T6" s="170"/>
      <c r="U6" s="85"/>
      <c r="V6" s="85"/>
    </row>
    <row r="7" spans="1:22" ht="7" customHeight="1" x14ac:dyDescent="0.3">
      <c r="A7" s="33"/>
      <c r="B7" s="51"/>
      <c r="C7" s="284"/>
      <c r="E7" s="14"/>
      <c r="F7" s="14"/>
      <c r="G7" s="14"/>
      <c r="I7" s="41"/>
      <c r="J7" s="52"/>
      <c r="K7" s="287"/>
      <c r="L7" s="288"/>
      <c r="M7" s="288"/>
      <c r="N7" s="287"/>
      <c r="R7" s="41"/>
      <c r="T7" s="13"/>
    </row>
    <row r="8" spans="1:22" ht="23" customHeight="1" x14ac:dyDescent="0.3">
      <c r="A8" s="33"/>
      <c r="B8" s="78">
        <v>1</v>
      </c>
      <c r="C8" s="54" t="s">
        <v>14</v>
      </c>
      <c r="E8" s="54"/>
      <c r="F8" s="54"/>
      <c r="G8" s="54"/>
      <c r="H8" s="174">
        <v>1.8</v>
      </c>
      <c r="I8" s="55">
        <f>I30</f>
        <v>4.9330357142857144</v>
      </c>
      <c r="J8" s="49"/>
      <c r="K8" s="287"/>
      <c r="L8" s="288"/>
      <c r="M8" s="288"/>
      <c r="N8" s="287"/>
      <c r="R8" s="41"/>
      <c r="T8" s="171"/>
    </row>
    <row r="9" spans="1:22" ht="9" customHeight="1" x14ac:dyDescent="0.3">
      <c r="A9" s="33"/>
      <c r="B9" s="78"/>
      <c r="C9" s="58"/>
      <c r="E9" s="56"/>
      <c r="F9" s="56"/>
      <c r="G9" s="56"/>
      <c r="H9" s="289"/>
      <c r="I9" s="290"/>
      <c r="J9" s="52"/>
      <c r="K9" s="287"/>
      <c r="L9" s="288"/>
      <c r="M9" s="288"/>
      <c r="N9" s="287"/>
      <c r="R9" s="41"/>
      <c r="T9" s="37"/>
    </row>
    <row r="10" spans="1:22" ht="23" customHeight="1" x14ac:dyDescent="0.3">
      <c r="A10" s="33"/>
      <c r="B10" s="78">
        <v>2</v>
      </c>
      <c r="C10" s="54" t="str">
        <f>C95</f>
        <v>ערכיות רב-שכבתית</v>
      </c>
      <c r="E10" s="54"/>
      <c r="F10" s="54"/>
      <c r="G10" s="54"/>
      <c r="H10" s="174">
        <v>2</v>
      </c>
      <c r="I10" s="55">
        <f>I95</f>
        <v>2.91044776119403</v>
      </c>
      <c r="J10" s="49"/>
      <c r="K10" s="287"/>
      <c r="L10" s="288"/>
      <c r="M10" s="288"/>
      <c r="N10" s="287"/>
      <c r="R10" s="57"/>
      <c r="T10" s="171"/>
    </row>
    <row r="11" spans="1:22" ht="9" customHeight="1" x14ac:dyDescent="0.3">
      <c r="A11" s="33"/>
      <c r="B11" s="78"/>
      <c r="C11" s="58"/>
      <c r="E11" s="58"/>
      <c r="F11" s="58"/>
      <c r="G11" s="58"/>
      <c r="H11" s="289"/>
      <c r="I11" s="290"/>
      <c r="J11" s="49"/>
      <c r="K11" s="287"/>
      <c r="L11" s="288"/>
      <c r="M11" s="288"/>
      <c r="N11" s="287"/>
      <c r="R11" s="53"/>
      <c r="T11" s="37"/>
    </row>
    <row r="12" spans="1:22" ht="23" customHeight="1" x14ac:dyDescent="0.3">
      <c r="A12" s="31"/>
      <c r="B12" s="78">
        <v>3</v>
      </c>
      <c r="C12" s="54" t="str">
        <f>C176</f>
        <v>גודל ופריסה</v>
      </c>
      <c r="E12" s="54"/>
      <c r="F12" s="54"/>
      <c r="G12" s="54"/>
      <c r="H12" s="174">
        <v>1.8</v>
      </c>
      <c r="I12" s="55">
        <f ca="1">I176</f>
        <v>2.019278606965174</v>
      </c>
      <c r="J12" s="49"/>
      <c r="K12" s="287"/>
      <c r="L12" s="288"/>
      <c r="M12" s="288"/>
      <c r="N12" s="287"/>
      <c r="R12" s="57"/>
      <c r="T12" s="171"/>
    </row>
    <row r="13" spans="1:22" ht="9" customHeight="1" x14ac:dyDescent="0.3">
      <c r="A13" s="31"/>
      <c r="B13" s="78"/>
      <c r="C13" s="58"/>
      <c r="E13" s="58"/>
      <c r="F13" s="58"/>
      <c r="G13" s="58"/>
      <c r="H13" s="289"/>
      <c r="I13" s="290"/>
      <c r="J13" s="49"/>
      <c r="K13" s="287"/>
      <c r="L13" s="288"/>
      <c r="M13" s="288"/>
      <c r="N13" s="287"/>
      <c r="R13" s="49"/>
      <c r="T13" s="37"/>
    </row>
    <row r="14" spans="1:22" ht="23" customHeight="1" x14ac:dyDescent="0.3">
      <c r="A14" s="31"/>
      <c r="B14" s="78">
        <v>4</v>
      </c>
      <c r="C14" s="59" t="str">
        <f>C181</f>
        <v>רמת שירות וממשקים</v>
      </c>
      <c r="E14" s="58"/>
      <c r="F14" s="58"/>
      <c r="G14" s="58"/>
      <c r="H14" s="174">
        <v>1.4</v>
      </c>
      <c r="I14" s="55">
        <f>I181</f>
        <v>1.25</v>
      </c>
      <c r="J14" s="49"/>
      <c r="K14" s="287"/>
      <c r="L14" s="288"/>
      <c r="M14" s="288"/>
      <c r="N14" s="287"/>
      <c r="R14" s="74"/>
      <c r="T14" s="171"/>
    </row>
    <row r="15" spans="1:22" ht="9" customHeight="1" x14ac:dyDescent="0.3">
      <c r="A15" s="31"/>
      <c r="B15" s="78"/>
      <c r="C15" s="54"/>
      <c r="E15" s="58"/>
      <c r="F15" s="58"/>
      <c r="G15" s="58"/>
      <c r="H15" s="289"/>
      <c r="I15" s="290"/>
      <c r="J15" s="49"/>
      <c r="K15" s="287"/>
      <c r="L15" s="288"/>
      <c r="M15" s="288"/>
      <c r="N15" s="287"/>
      <c r="R15" s="75"/>
      <c r="T15" s="37"/>
    </row>
    <row r="16" spans="1:22" ht="23" customHeight="1" x14ac:dyDescent="0.3">
      <c r="A16" s="31"/>
      <c r="B16" s="78">
        <v>5</v>
      </c>
      <c r="C16" s="59" t="str">
        <f>C188</f>
        <v>אמינות ושקיפות</v>
      </c>
      <c r="E16" s="59"/>
      <c r="F16" s="59"/>
      <c r="G16" s="59"/>
      <c r="H16" s="174">
        <v>1.5</v>
      </c>
      <c r="I16" s="55">
        <f>I188</f>
        <v>3.6</v>
      </c>
      <c r="J16" s="49"/>
      <c r="K16" s="287"/>
      <c r="L16" s="288"/>
      <c r="M16" s="288"/>
      <c r="N16" s="287"/>
      <c r="R16" s="75"/>
      <c r="T16" s="171"/>
    </row>
    <row r="17" spans="1:22" ht="9" customHeight="1" x14ac:dyDescent="0.3">
      <c r="A17" s="31"/>
      <c r="B17" s="78"/>
      <c r="C17" s="54"/>
      <c r="E17" s="54"/>
      <c r="F17" s="54"/>
      <c r="G17" s="54"/>
      <c r="H17" s="289"/>
      <c r="I17" s="290"/>
      <c r="J17" s="49"/>
      <c r="K17" s="287"/>
      <c r="L17" s="288"/>
      <c r="M17" s="288"/>
      <c r="N17" s="287"/>
      <c r="R17" s="73"/>
      <c r="T17" s="37"/>
    </row>
    <row r="18" spans="1:22" ht="23" customHeight="1" x14ac:dyDescent="0.3">
      <c r="A18" s="31"/>
      <c r="B18" s="78">
        <v>6</v>
      </c>
      <c r="C18" s="79" t="str">
        <f>C195</f>
        <v>סייבר ושמירת פרטיות</v>
      </c>
      <c r="E18" s="54"/>
      <c r="F18" s="54"/>
      <c r="G18" s="54"/>
      <c r="H18" s="174">
        <v>1.4</v>
      </c>
      <c r="I18" s="55">
        <f>I195</f>
        <v>3.75</v>
      </c>
      <c r="J18" s="49"/>
      <c r="K18" s="287"/>
      <c r="L18" s="288"/>
      <c r="M18" s="288"/>
      <c r="N18" s="287"/>
      <c r="R18" s="73"/>
      <c r="T18" s="171"/>
    </row>
    <row r="19" spans="1:22" ht="9" customHeight="1" x14ac:dyDescent="0.3">
      <c r="A19" s="31"/>
      <c r="B19" s="78"/>
      <c r="C19" s="54"/>
      <c r="E19" s="54"/>
      <c r="F19" s="54"/>
      <c r="G19" s="54"/>
      <c r="H19" s="289"/>
      <c r="I19" s="290"/>
      <c r="J19" s="49"/>
      <c r="K19" s="287"/>
      <c r="L19" s="288"/>
      <c r="M19" s="288"/>
      <c r="N19" s="287"/>
      <c r="R19" s="4"/>
      <c r="T19" s="37"/>
    </row>
    <row r="20" spans="1:22" ht="23" hidden="1" customHeight="1" x14ac:dyDescent="0.3">
      <c r="A20" s="31"/>
      <c r="B20" s="78"/>
      <c r="C20" s="59"/>
      <c r="E20" s="54"/>
      <c r="F20" s="54"/>
      <c r="G20" s="54"/>
      <c r="H20" s="174"/>
      <c r="I20" s="55"/>
      <c r="J20" s="49"/>
      <c r="K20" s="287"/>
      <c r="L20" s="291"/>
      <c r="M20" s="288"/>
      <c r="N20" s="287"/>
      <c r="R20" s="4"/>
      <c r="T20" s="171"/>
    </row>
    <row r="21" spans="1:22" ht="9" hidden="1" customHeight="1" x14ac:dyDescent="0.3">
      <c r="A21" s="31"/>
      <c r="B21" s="78"/>
      <c r="C21" s="54"/>
      <c r="E21" s="54"/>
      <c r="F21" s="54"/>
      <c r="G21" s="54"/>
      <c r="H21" s="289"/>
      <c r="I21" s="290"/>
      <c r="J21" s="49"/>
      <c r="K21" s="287"/>
      <c r="L21" s="291"/>
      <c r="M21" s="288"/>
      <c r="N21" s="287"/>
      <c r="R21" s="50"/>
      <c r="T21" s="38"/>
    </row>
    <row r="22" spans="1:22" ht="23" customHeight="1" x14ac:dyDescent="0.3">
      <c r="A22" s="31"/>
      <c r="B22" s="78">
        <v>7</v>
      </c>
      <c r="C22" s="59" t="str">
        <f>C213</f>
        <v>נוכחות דיגיטלית</v>
      </c>
      <c r="E22" s="54"/>
      <c r="F22" s="54"/>
      <c r="G22" s="54"/>
      <c r="H22" s="174">
        <v>0.6</v>
      </c>
      <c r="I22" s="55">
        <f>I213</f>
        <v>3.9121419020145018</v>
      </c>
      <c r="J22" s="49"/>
      <c r="K22" s="287"/>
      <c r="L22" s="291"/>
      <c r="M22" s="288"/>
      <c r="N22" s="287"/>
      <c r="T22" s="171"/>
    </row>
    <row r="23" spans="1:22" ht="9" hidden="1" customHeight="1" x14ac:dyDescent="0.3">
      <c r="A23" s="31"/>
      <c r="B23" s="78"/>
      <c r="C23" s="58"/>
      <c r="E23" s="54"/>
      <c r="F23" s="54"/>
      <c r="G23" s="54"/>
      <c r="H23" s="289"/>
      <c r="I23" s="290"/>
      <c r="J23" s="49"/>
      <c r="K23" s="287"/>
      <c r="L23" s="291"/>
      <c r="M23" s="288"/>
      <c r="N23" s="287"/>
      <c r="T23" s="37"/>
    </row>
    <row r="24" spans="1:22" ht="23" hidden="1" customHeight="1" x14ac:dyDescent="0.3">
      <c r="A24" s="31"/>
      <c r="B24" s="78"/>
      <c r="C24" s="54"/>
      <c r="E24" s="54"/>
      <c r="F24" s="54"/>
      <c r="G24" s="54"/>
      <c r="H24" s="289"/>
      <c r="I24" s="292"/>
      <c r="J24" s="49"/>
      <c r="K24" s="287"/>
      <c r="L24" s="288"/>
      <c r="M24" s="288"/>
      <c r="N24" s="287"/>
      <c r="T24" s="171"/>
    </row>
    <row r="25" spans="1:22" ht="9" hidden="1" customHeight="1" x14ac:dyDescent="0.3">
      <c r="A25" s="31"/>
      <c r="B25" s="78"/>
      <c r="C25" s="58"/>
      <c r="E25" s="58"/>
      <c r="F25" s="58"/>
      <c r="G25" s="58"/>
      <c r="H25" s="289"/>
      <c r="I25" s="290"/>
      <c r="J25" s="49"/>
      <c r="K25" s="287"/>
      <c r="L25" s="288"/>
      <c r="M25" s="288"/>
      <c r="N25" s="287"/>
      <c r="T25" s="38"/>
    </row>
    <row r="26" spans="1:22" ht="23.5" hidden="1" customHeight="1" thickBot="1" x14ac:dyDescent="0.35">
      <c r="A26" s="31"/>
      <c r="B26" s="78"/>
      <c r="C26" s="59"/>
      <c r="E26" s="60"/>
      <c r="F26" s="60"/>
      <c r="G26" s="60"/>
      <c r="H26" s="289"/>
      <c r="I26" s="292"/>
      <c r="J26" s="49"/>
      <c r="K26" s="287"/>
      <c r="L26" s="287"/>
      <c r="M26" s="287"/>
      <c r="N26" s="287"/>
      <c r="T26" s="171"/>
    </row>
    <row r="27" spans="1:22" ht="6.5" hidden="1" customHeight="1" x14ac:dyDescent="0.3">
      <c r="A27" s="5"/>
      <c r="B27" s="18"/>
      <c r="C27" s="293"/>
      <c r="D27" s="293"/>
      <c r="F27" s="294"/>
      <c r="H27" s="295"/>
      <c r="I27" s="296"/>
      <c r="J27" s="15"/>
      <c r="K27" s="15"/>
      <c r="L27" s="15"/>
      <c r="M27" s="15"/>
      <c r="N27" s="42"/>
      <c r="T27" s="169"/>
    </row>
    <row r="28" spans="1:22" ht="23" hidden="1" customHeight="1" x14ac:dyDescent="0.3">
      <c r="A28" s="5"/>
      <c r="B28" s="78"/>
      <c r="C28" s="54"/>
      <c r="E28" s="297"/>
      <c r="F28" s="297"/>
      <c r="G28" s="297"/>
      <c r="H28" s="289"/>
      <c r="I28" s="292"/>
      <c r="J28" s="15"/>
      <c r="K28" s="15"/>
      <c r="L28" s="15"/>
      <c r="M28" s="15"/>
      <c r="N28" s="42"/>
      <c r="T28" s="169"/>
    </row>
    <row r="29" spans="1:22" ht="18" customHeight="1" thickBot="1" x14ac:dyDescent="0.35">
      <c r="A29" s="5"/>
      <c r="B29" s="18"/>
      <c r="C29" s="293"/>
      <c r="D29" s="293"/>
      <c r="F29" s="294"/>
      <c r="H29" s="298"/>
      <c r="I29" s="296"/>
      <c r="J29" s="15"/>
      <c r="K29" s="15"/>
      <c r="L29" s="15"/>
      <c r="M29" s="299"/>
      <c r="N29" s="300"/>
      <c r="O29" s="296"/>
      <c r="P29" s="296"/>
      <c r="Q29" s="299"/>
      <c r="R29" s="299"/>
      <c r="S29" s="301"/>
      <c r="T29" s="169"/>
    </row>
    <row r="30" spans="1:22" s="5" customFormat="1" ht="23.5" customHeight="1" thickBot="1" x14ac:dyDescent="0.35">
      <c r="A30" s="35"/>
      <c r="B30" s="132">
        <v>1</v>
      </c>
      <c r="C30" s="113" t="s">
        <v>15</v>
      </c>
      <c r="D30" s="36"/>
      <c r="E30" s="36"/>
      <c r="F30" s="36"/>
      <c r="G30" s="9"/>
      <c r="H30" s="76" t="s">
        <v>16</v>
      </c>
      <c r="I30" s="354">
        <f>(I32*30+I74+I86)/32</f>
        <v>4.9330357142857144</v>
      </c>
      <c r="K30" s="136"/>
      <c r="L30" s="2"/>
      <c r="M30" s="4"/>
      <c r="N30" s="302" t="s">
        <v>17</v>
      </c>
      <c r="Q30" s="4"/>
      <c r="R30" s="4"/>
      <c r="S30" s="39"/>
      <c r="T30" s="173"/>
      <c r="U30" s="130"/>
      <c r="V30" s="4"/>
    </row>
    <row r="31" spans="1:22" s="5" customFormat="1" ht="15.5" customHeight="1" thickBot="1" x14ac:dyDescent="0.4">
      <c r="A31" s="35"/>
      <c r="G31" s="9"/>
      <c r="H31" s="105"/>
      <c r="I31" s="36"/>
      <c r="J31" s="106"/>
      <c r="K31" s="136"/>
      <c r="L31" s="2"/>
      <c r="M31" s="4"/>
      <c r="N31" s="303" t="s">
        <v>18</v>
      </c>
      <c r="O31" s="304"/>
      <c r="P31" s="305" t="s">
        <v>19</v>
      </c>
      <c r="Q31" s="211"/>
      <c r="R31" s="212"/>
      <c r="S31" s="39"/>
      <c r="T31" s="172"/>
      <c r="U31" s="130"/>
      <c r="V31" s="4"/>
    </row>
    <row r="32" spans="1:22" s="5" customFormat="1" ht="18.5" customHeight="1" thickBot="1" x14ac:dyDescent="0.4">
      <c r="A32" s="35"/>
      <c r="B32" s="28">
        <v>1</v>
      </c>
      <c r="C32" s="104" t="s">
        <v>20</v>
      </c>
      <c r="H32" s="105" t="s">
        <v>21</v>
      </c>
      <c r="I32" s="128">
        <f>(I33*3+I37*3+I41*3+I45*3+I49*3+I53*3+I57*3+I61*3+I65*3+I69*3)/30</f>
        <v>5</v>
      </c>
      <c r="J32" s="106"/>
      <c r="K32" s="136"/>
      <c r="L32" s="2"/>
      <c r="M32" s="4"/>
      <c r="N32" s="213">
        <v>1</v>
      </c>
      <c r="O32" s="239" t="s">
        <v>22</v>
      </c>
      <c r="P32" s="214">
        <v>0</v>
      </c>
      <c r="Q32" s="211"/>
      <c r="R32" s="212"/>
      <c r="S32" s="39"/>
      <c r="T32" s="172"/>
      <c r="U32" s="130"/>
      <c r="V32" s="4"/>
    </row>
    <row r="33" spans="1:22" s="5" customFormat="1" ht="15.5" customHeight="1" thickBot="1" x14ac:dyDescent="0.4">
      <c r="A33" s="35"/>
      <c r="B33" s="28"/>
      <c r="C33" s="261">
        <v>1.1000000000000001</v>
      </c>
      <c r="D33" s="277" t="s">
        <v>23</v>
      </c>
      <c r="E33" s="257"/>
      <c r="H33" s="105" t="s">
        <v>24</v>
      </c>
      <c r="I33" s="142">
        <f>(IF(I34=Normalize!G7,5,IF(I34&lt;Normalize!G7,5,IF(I34&gt;Normalize!I7,0,((I34-Normalize!G7)/(Normalize!I7-Normalize!G7))*5)))+IF(I35=Normalize!G8,5,IF(I35&lt;Normalize!G8,5,IF(I35&gt;Normalize!I8,0,5-((I35-Normalize!G8)/(Normalize!I8-Normalize!G8))*5)))+IF(I36=Normalize!G9,5,IF(I36&lt;Normalize!G9,5,IF(I36&gt;Normalize!I9,0,5-((I36-Normalize!G9)/(Normalize!I9-Normalize!G9))*5))))/3</f>
        <v>5</v>
      </c>
      <c r="J33" s="141"/>
      <c r="K33" s="136"/>
      <c r="L33" s="306" t="s">
        <v>25</v>
      </c>
      <c r="M33" s="4"/>
      <c r="N33" s="215">
        <v>2</v>
      </c>
      <c r="O33" s="240" t="s">
        <v>26</v>
      </c>
      <c r="P33" s="217">
        <v>0</v>
      </c>
      <c r="Q33" s="211"/>
      <c r="R33" s="212"/>
      <c r="S33" s="39"/>
      <c r="T33" s="172"/>
      <c r="U33" s="130"/>
      <c r="V33" s="4"/>
    </row>
    <row r="34" spans="1:22" s="5" customFormat="1" ht="15.5" customHeight="1" x14ac:dyDescent="0.35">
      <c r="A34" s="35"/>
      <c r="B34" s="28"/>
      <c r="C34" s="244"/>
      <c r="D34" s="244" t="s">
        <v>27</v>
      </c>
      <c r="E34" s="278" t="s">
        <v>28</v>
      </c>
      <c r="F34" s="140"/>
      <c r="G34" s="140"/>
      <c r="H34" s="6" t="s">
        <v>29</v>
      </c>
      <c r="I34" s="138">
        <v>130</v>
      </c>
      <c r="J34" s="106"/>
      <c r="K34" s="307" t="str">
        <f>D34</f>
        <v>1.1.1</v>
      </c>
      <c r="L34" s="44"/>
      <c r="M34" s="4"/>
      <c r="N34" s="215">
        <v>3</v>
      </c>
      <c r="O34" s="240" t="s">
        <v>30</v>
      </c>
      <c r="P34" s="217">
        <v>0</v>
      </c>
      <c r="Q34" s="211"/>
      <c r="R34" s="212"/>
      <c r="S34" s="39"/>
      <c r="T34" s="172"/>
      <c r="U34" s="130"/>
      <c r="V34" s="4"/>
    </row>
    <row r="35" spans="1:22" s="5" customFormat="1" ht="15.5" customHeight="1" x14ac:dyDescent="0.35">
      <c r="A35" s="35"/>
      <c r="B35" s="28"/>
      <c r="C35" s="244"/>
      <c r="D35" s="244" t="s">
        <v>31</v>
      </c>
      <c r="E35" s="278" t="s">
        <v>32</v>
      </c>
      <c r="H35" s="6" t="s">
        <v>33</v>
      </c>
      <c r="I35" s="143">
        <v>60</v>
      </c>
      <c r="J35" s="106"/>
      <c r="K35" s="307" t="str">
        <f>D35</f>
        <v>1.1.2</v>
      </c>
      <c r="L35" s="44"/>
      <c r="M35" s="4"/>
      <c r="N35" s="215">
        <v>4</v>
      </c>
      <c r="O35" s="240" t="s">
        <v>34</v>
      </c>
      <c r="P35" s="217">
        <v>0</v>
      </c>
      <c r="Q35" s="211"/>
      <c r="R35" s="212"/>
      <c r="S35" s="39"/>
      <c r="T35" s="172"/>
      <c r="U35" s="130"/>
      <c r="V35" s="4"/>
    </row>
    <row r="36" spans="1:22" s="5" customFormat="1" ht="15.5" customHeight="1" thickBot="1" x14ac:dyDescent="0.4">
      <c r="A36" s="35"/>
      <c r="B36" s="28"/>
      <c r="C36" s="244"/>
      <c r="D36" s="244" t="s">
        <v>35</v>
      </c>
      <c r="E36" s="278" t="s">
        <v>36</v>
      </c>
      <c r="H36" s="6" t="s">
        <v>33</v>
      </c>
      <c r="I36" s="143">
        <v>90</v>
      </c>
      <c r="J36" s="106"/>
      <c r="K36" s="307" t="str">
        <f>D36</f>
        <v>1.1.3</v>
      </c>
      <c r="L36" s="44"/>
      <c r="M36" s="4"/>
      <c r="N36" s="215">
        <v>5</v>
      </c>
      <c r="O36" s="240" t="s">
        <v>37</v>
      </c>
      <c r="P36" s="217">
        <v>5</v>
      </c>
      <c r="Q36" s="211"/>
      <c r="R36" s="212"/>
      <c r="S36" s="39"/>
      <c r="T36" s="172"/>
      <c r="U36" s="130"/>
      <c r="V36" s="4"/>
    </row>
    <row r="37" spans="1:22" s="5" customFormat="1" ht="15.5" customHeight="1" thickBot="1" x14ac:dyDescent="0.4">
      <c r="A37" s="35"/>
      <c r="B37" s="28"/>
      <c r="C37" s="261">
        <v>1.2</v>
      </c>
      <c r="D37" s="277" t="s">
        <v>38</v>
      </c>
      <c r="E37" s="277"/>
      <c r="F37" s="140"/>
      <c r="H37" s="105" t="s">
        <v>24</v>
      </c>
      <c r="I37" s="142">
        <f>(IF(I38=Normalize!G11,5,IF(I38&lt;Normalize!G11,5,IF(I38&gt;Normalize!I11,0,((I38-Normalize!G11)/(Normalize!I11-Normalize!G11))*5)))+IF(I39=Normalize!G12,5,IF(I39&lt;Normalize!G12,5,IF(I39&gt;Normalize!I12,0,5-((I39-Normalize!G12)/(Normalize!I12-Normalize!G12))*5)))+IF(I40=Normalize!G13,5,IF(I40&lt;Normalize!G13,5,IF(I40&gt;Normalize!I13,0,5-((I40-Normalize!G13)/(Normalize!I13-Normalize!G13))*5))))/3</f>
        <v>5</v>
      </c>
      <c r="J37" s="150"/>
      <c r="K37" s="136"/>
      <c r="L37" s="2"/>
      <c r="M37" s="4"/>
      <c r="N37" s="215">
        <v>6</v>
      </c>
      <c r="O37" s="240" t="s">
        <v>39</v>
      </c>
      <c r="P37" s="217">
        <v>0</v>
      </c>
      <c r="Q37" s="211"/>
      <c r="R37" s="212"/>
      <c r="S37" s="39"/>
      <c r="T37" s="172"/>
      <c r="U37" s="130"/>
      <c r="V37" s="4"/>
    </row>
    <row r="38" spans="1:22" s="5" customFormat="1" ht="15.5" customHeight="1" x14ac:dyDescent="0.35">
      <c r="A38" s="35"/>
      <c r="B38" s="28"/>
      <c r="C38" s="279"/>
      <c r="D38" s="244" t="s">
        <v>40</v>
      </c>
      <c r="E38" s="278" t="s">
        <v>28</v>
      </c>
      <c r="H38" s="6" t="s">
        <v>29</v>
      </c>
      <c r="I38" s="138">
        <v>60</v>
      </c>
      <c r="J38" s="106"/>
      <c r="K38" s="307" t="str">
        <f>D38</f>
        <v>1.2.1</v>
      </c>
      <c r="L38" s="44"/>
      <c r="M38" s="4"/>
      <c r="N38" s="215">
        <v>7</v>
      </c>
      <c r="O38" s="240" t="s">
        <v>41</v>
      </c>
      <c r="P38" s="217">
        <v>0</v>
      </c>
      <c r="Q38" s="211"/>
      <c r="R38" s="212"/>
      <c r="S38" s="39"/>
      <c r="T38" s="172"/>
      <c r="U38" s="130"/>
      <c r="V38" s="4"/>
    </row>
    <row r="39" spans="1:22" s="5" customFormat="1" ht="15.5" customHeight="1" x14ac:dyDescent="0.35">
      <c r="A39" s="35"/>
      <c r="B39" s="28"/>
      <c r="C39" s="244"/>
      <c r="D39" s="244" t="s">
        <v>42</v>
      </c>
      <c r="E39" s="278" t="s">
        <v>32</v>
      </c>
      <c r="H39" s="6" t="s">
        <v>33</v>
      </c>
      <c r="I39" s="143">
        <v>20</v>
      </c>
      <c r="J39" s="106"/>
      <c r="K39" s="307" t="str">
        <f>D39</f>
        <v>1.2.2</v>
      </c>
      <c r="L39" s="44"/>
      <c r="M39" s="4"/>
      <c r="N39" s="215">
        <v>8</v>
      </c>
      <c r="O39" s="240" t="s">
        <v>43</v>
      </c>
      <c r="P39" s="217">
        <v>0</v>
      </c>
      <c r="Q39" s="211"/>
      <c r="R39" s="212"/>
      <c r="S39" s="39"/>
      <c r="T39" s="172"/>
      <c r="U39" s="130"/>
      <c r="V39" s="4"/>
    </row>
    <row r="40" spans="1:22" s="5" customFormat="1" ht="15.5" customHeight="1" thickBot="1" x14ac:dyDescent="0.4">
      <c r="A40" s="35"/>
      <c r="B40" s="28"/>
      <c r="C40" s="279"/>
      <c r="D40" s="244" t="s">
        <v>44</v>
      </c>
      <c r="E40" s="278" t="s">
        <v>36</v>
      </c>
      <c r="H40" s="6" t="s">
        <v>33</v>
      </c>
      <c r="I40" s="143">
        <v>30</v>
      </c>
      <c r="J40" s="106"/>
      <c r="K40" s="307" t="str">
        <f>D40</f>
        <v>1.2.3</v>
      </c>
      <c r="L40" s="44"/>
      <c r="M40" s="4"/>
      <c r="N40" s="215">
        <v>9</v>
      </c>
      <c r="O40" s="240" t="s">
        <v>45</v>
      </c>
      <c r="P40" s="217">
        <v>0</v>
      </c>
      <c r="Q40" s="211"/>
      <c r="R40" s="212"/>
      <c r="S40" s="39"/>
      <c r="T40" s="172"/>
      <c r="U40" s="130"/>
      <c r="V40" s="4"/>
    </row>
    <row r="41" spans="1:22" s="5" customFormat="1" ht="15.5" customHeight="1" thickBot="1" x14ac:dyDescent="0.4">
      <c r="A41" s="35"/>
      <c r="B41" s="28"/>
      <c r="C41" s="261">
        <v>1.3</v>
      </c>
      <c r="D41" s="277" t="s">
        <v>46</v>
      </c>
      <c r="E41" s="277"/>
      <c r="F41" s="140"/>
      <c r="H41" s="105" t="s">
        <v>24</v>
      </c>
      <c r="I41" s="142">
        <f>(IF(I42=Normalize!G15,5,IF(I42&lt;Normalize!G15,5,IF(I42&gt;Normalize!I15,0,((I42-Normalize!G15)/(Normalize!I15-Normalize!G15))*5)))+IF(I43=Normalize!G16,5,IF(I43&lt;Normalize!G16,5,IF(I43&gt;Normalize!I16,0,5-((I43-Normalize!G16)/(Normalize!I16-Normalize!G16))*5)))+IF(I44=Normalize!G17,5,IF(I44&lt;Normalize!G17,5,IF(I44&gt;Normalize!I17,0,5-((I44-Normalize!G17)/(Normalize!I17-Normalize!G17))*5))))/3</f>
        <v>5</v>
      </c>
      <c r="K41" s="136"/>
      <c r="L41" s="2"/>
      <c r="M41" s="4"/>
      <c r="N41" s="215">
        <v>10</v>
      </c>
      <c r="O41" s="240" t="s">
        <v>47</v>
      </c>
      <c r="P41" s="217">
        <v>0</v>
      </c>
      <c r="Q41" s="211"/>
      <c r="R41" s="212"/>
      <c r="S41" s="39"/>
      <c r="T41" s="172"/>
      <c r="U41" s="130"/>
      <c r="V41" s="4"/>
    </row>
    <row r="42" spans="1:22" s="5" customFormat="1" ht="15.5" customHeight="1" x14ac:dyDescent="0.35">
      <c r="A42" s="35"/>
      <c r="B42" s="28"/>
      <c r="C42" s="279"/>
      <c r="D42" s="244" t="s">
        <v>48</v>
      </c>
      <c r="E42" s="278" t="s">
        <v>28</v>
      </c>
      <c r="H42" s="6" t="s">
        <v>29</v>
      </c>
      <c r="I42" s="138">
        <v>5</v>
      </c>
      <c r="J42" s="106"/>
      <c r="K42" s="307" t="str">
        <f>D42</f>
        <v>1.3.1</v>
      </c>
      <c r="L42" s="44"/>
      <c r="M42" s="4"/>
      <c r="N42" s="308"/>
      <c r="O42" s="309"/>
      <c r="P42" s="310">
        <f>SUM(P32:P41)/5</f>
        <v>1</v>
      </c>
      <c r="Q42" s="211"/>
      <c r="R42" s="212"/>
      <c r="S42" s="39"/>
      <c r="T42" s="172"/>
      <c r="U42" s="130"/>
      <c r="V42" s="4"/>
    </row>
    <row r="43" spans="1:22" s="5" customFormat="1" ht="15.5" customHeight="1" x14ac:dyDescent="0.35">
      <c r="A43" s="35"/>
      <c r="B43" s="28"/>
      <c r="C43" s="279"/>
      <c r="D43" s="244" t="s">
        <v>49</v>
      </c>
      <c r="E43" s="278" t="s">
        <v>32</v>
      </c>
      <c r="H43" s="6" t="s">
        <v>33</v>
      </c>
      <c r="I43" s="143">
        <v>8</v>
      </c>
      <c r="J43" s="106"/>
      <c r="K43" s="307" t="str">
        <f>D43</f>
        <v>1.3.2</v>
      </c>
      <c r="L43" s="44"/>
      <c r="M43" s="4"/>
      <c r="N43" s="218"/>
      <c r="O43" s="218"/>
      <c r="P43" s="218"/>
      <c r="Q43" s="218"/>
      <c r="R43" s="218"/>
      <c r="S43" s="39"/>
      <c r="T43" s="172"/>
      <c r="U43" s="130"/>
      <c r="V43" s="4"/>
    </row>
    <row r="44" spans="1:22" s="5" customFormat="1" ht="15.5" customHeight="1" thickBot="1" x14ac:dyDescent="0.4">
      <c r="A44" s="35"/>
      <c r="B44" s="28"/>
      <c r="C44" s="279"/>
      <c r="D44" s="244" t="s">
        <v>50</v>
      </c>
      <c r="E44" s="278" t="s">
        <v>36</v>
      </c>
      <c r="H44" s="6" t="s">
        <v>33</v>
      </c>
      <c r="I44" s="143">
        <v>22</v>
      </c>
      <c r="J44" s="106"/>
      <c r="K44" s="307" t="str">
        <f>D44</f>
        <v>1.3.3</v>
      </c>
      <c r="L44" s="44"/>
      <c r="M44" s="4"/>
      <c r="N44" s="218"/>
      <c r="O44" s="218"/>
      <c r="P44" s="218"/>
      <c r="Q44" s="218"/>
      <c r="R44" s="218"/>
      <c r="S44" s="39"/>
      <c r="T44" s="172"/>
      <c r="U44" s="130"/>
      <c r="V44" s="4"/>
    </row>
    <row r="45" spans="1:22" s="5" customFormat="1" ht="15.5" customHeight="1" thickBot="1" x14ac:dyDescent="0.4">
      <c r="A45" s="35"/>
      <c r="B45" s="28"/>
      <c r="C45" s="261">
        <v>1.4</v>
      </c>
      <c r="D45" s="277" t="s">
        <v>51</v>
      </c>
      <c r="E45" s="277"/>
      <c r="F45" s="140"/>
      <c r="H45" s="105" t="s">
        <v>24</v>
      </c>
      <c r="I45" s="142">
        <f>(IF(I46=Normalize!G19,5,IF(I46&lt;Normalize!G19,5,IF(I46&gt;Normalize!I19,0,((I46-Normalize!G19)/(Normalize!I19-Normalize!G19))*5)))+IF(I47=Normalize!G20,5,IF(I47&lt;Normalize!G20,5,IF(I47&gt;Normalize!I20,0,5-((I47-Normalize!G20)/(Normalize!I20-Normalize!G20))*5)))+IF(I48=Normalize!G21,5,IF(I48&lt;Normalize!G21,5,IF(I48&gt;Normalize!I21,0,5-((I48-Normalize!G21)/(Normalize!I21-Normalize!G21))*5))))/3</f>
        <v>5</v>
      </c>
      <c r="J45" s="4"/>
      <c r="K45" s="136"/>
      <c r="L45" s="2"/>
      <c r="M45" s="299"/>
      <c r="N45" s="311"/>
      <c r="O45" s="296"/>
      <c r="P45" s="296"/>
      <c r="Q45" s="312"/>
      <c r="R45" s="313"/>
      <c r="S45" s="301"/>
      <c r="T45" s="172"/>
      <c r="U45" s="130"/>
      <c r="V45" s="4"/>
    </row>
    <row r="46" spans="1:22" s="5" customFormat="1" ht="15.5" customHeight="1" thickBot="1" x14ac:dyDescent="0.4">
      <c r="A46" s="35"/>
      <c r="B46" s="28"/>
      <c r="C46" s="279"/>
      <c r="D46" s="244" t="s">
        <v>52</v>
      </c>
      <c r="E46" s="278" t="s">
        <v>28</v>
      </c>
      <c r="G46" s="140"/>
      <c r="H46" s="6" t="s">
        <v>29</v>
      </c>
      <c r="I46" s="138">
        <v>5</v>
      </c>
      <c r="J46" s="4"/>
      <c r="K46" s="307" t="str">
        <f>D46</f>
        <v>1.4.1</v>
      </c>
      <c r="L46" s="44"/>
      <c r="M46" s="4"/>
      <c r="N46" s="219" t="s">
        <v>53</v>
      </c>
      <c r="O46" s="218"/>
      <c r="P46" s="218"/>
      <c r="Q46" s="211"/>
      <c r="R46" s="212"/>
      <c r="S46" s="39"/>
      <c r="T46" s="172"/>
      <c r="U46" s="130"/>
      <c r="V46" s="4"/>
    </row>
    <row r="47" spans="1:22" s="5" customFormat="1" ht="15.5" customHeight="1" x14ac:dyDescent="0.35">
      <c r="A47" s="35"/>
      <c r="B47" s="28"/>
      <c r="C47" s="279"/>
      <c r="D47" s="244" t="s">
        <v>54</v>
      </c>
      <c r="E47" s="278" t="s">
        <v>32</v>
      </c>
      <c r="H47" s="6" t="s">
        <v>33</v>
      </c>
      <c r="I47" s="143">
        <v>8</v>
      </c>
      <c r="K47" s="307" t="str">
        <f>D47</f>
        <v>1.4.2</v>
      </c>
      <c r="L47" s="44"/>
      <c r="M47" s="4"/>
      <c r="N47" s="209" t="s">
        <v>55</v>
      </c>
      <c r="O47" s="220"/>
      <c r="P47" s="221" t="s">
        <v>19</v>
      </c>
      <c r="Q47" s="222" t="s">
        <v>56</v>
      </c>
      <c r="R47" s="210"/>
      <c r="S47" s="39"/>
      <c r="T47" s="172"/>
      <c r="U47" s="130"/>
      <c r="V47" s="4"/>
    </row>
    <row r="48" spans="1:22" s="5" customFormat="1" ht="15.5" customHeight="1" thickBot="1" x14ac:dyDescent="0.45">
      <c r="A48" s="35"/>
      <c r="B48" s="28"/>
      <c r="C48" s="279"/>
      <c r="D48" s="244" t="s">
        <v>57</v>
      </c>
      <c r="E48" s="278" t="s">
        <v>36</v>
      </c>
      <c r="H48" s="6" t="s">
        <v>33</v>
      </c>
      <c r="I48" s="143">
        <v>22</v>
      </c>
      <c r="J48" s="106"/>
      <c r="K48" s="307" t="str">
        <f>D48</f>
        <v>1.4.3</v>
      </c>
      <c r="L48" s="44"/>
      <c r="M48" s="4"/>
      <c r="N48" s="213">
        <v>1</v>
      </c>
      <c r="O48" s="241" t="s">
        <v>58</v>
      </c>
      <c r="P48" s="224">
        <v>0</v>
      </c>
      <c r="Q48" s="223" t="s">
        <v>22</v>
      </c>
      <c r="R48" s="225"/>
      <c r="S48" s="39"/>
      <c r="T48" s="172"/>
      <c r="U48" s="130"/>
      <c r="V48" s="4"/>
    </row>
    <row r="49" spans="1:22" s="5" customFormat="1" ht="15.5" customHeight="1" thickBot="1" x14ac:dyDescent="0.45">
      <c r="A49" s="35"/>
      <c r="B49" s="28"/>
      <c r="C49" s="261">
        <v>1.5</v>
      </c>
      <c r="D49" s="277" t="s">
        <v>59</v>
      </c>
      <c r="E49" s="277"/>
      <c r="F49" s="140"/>
      <c r="H49" s="105" t="s">
        <v>24</v>
      </c>
      <c r="I49" s="142">
        <f>(IF(I50=Normalize!G23,5,IF(I50&lt;Normalize!G23,5,IF(I50&gt;Normalize!I23,0,((I50-Normalize!G23)/(Normalize!I23-Normalize!G23))*5)))+IF(I51=Normalize!G24,5,IF(I51&lt;Normalize!G24,5,IF(I51&gt;Normalize!I24,0,5-((I51-Normalize!G24)/(Normalize!I24-Normalize!G24))*5)))+IF(I52=Normalize!G25,5,IF(I52&lt;Normalize!G25,5,IF(I52&gt;Normalize!I25,0,5-((I52-Normalize!G25)/(Normalize!I25-Normalize!G25))*5))))/3</f>
        <v>5</v>
      </c>
      <c r="J49" s="106"/>
      <c r="K49" s="136"/>
      <c r="L49" s="2"/>
      <c r="M49" s="4"/>
      <c r="N49" s="215">
        <v>2</v>
      </c>
      <c r="O49" s="240" t="s">
        <v>60</v>
      </c>
      <c r="P49" s="226">
        <v>0</v>
      </c>
      <c r="Q49" s="216" t="s">
        <v>22</v>
      </c>
      <c r="R49" s="227"/>
      <c r="S49" s="39"/>
      <c r="T49" s="172"/>
      <c r="U49" s="130"/>
      <c r="V49" s="4"/>
    </row>
    <row r="50" spans="1:22" s="5" customFormat="1" ht="15.5" customHeight="1" x14ac:dyDescent="0.4">
      <c r="A50" s="35"/>
      <c r="B50" s="28"/>
      <c r="C50" s="279"/>
      <c r="D50" s="244" t="s">
        <v>61</v>
      </c>
      <c r="E50" s="278" t="s">
        <v>28</v>
      </c>
      <c r="G50" s="140"/>
      <c r="H50" s="6" t="s">
        <v>29</v>
      </c>
      <c r="I50" s="138">
        <v>5</v>
      </c>
      <c r="J50" s="151"/>
      <c r="K50" s="307" t="str">
        <f>D50</f>
        <v>1.5.1</v>
      </c>
      <c r="L50" s="44"/>
      <c r="M50" s="4"/>
      <c r="N50" s="215">
        <v>3</v>
      </c>
      <c r="O50" s="240" t="s">
        <v>62</v>
      </c>
      <c r="P50" s="226">
        <v>0</v>
      </c>
      <c r="Q50" s="216" t="s">
        <v>22</v>
      </c>
      <c r="R50" s="227"/>
      <c r="S50" s="39"/>
      <c r="T50" s="172"/>
      <c r="U50" s="130"/>
      <c r="V50" s="4"/>
    </row>
    <row r="51" spans="1:22" s="5" customFormat="1" ht="15.5" customHeight="1" x14ac:dyDescent="0.4">
      <c r="A51" s="35"/>
      <c r="B51" s="28"/>
      <c r="C51" s="279"/>
      <c r="D51" s="244" t="s">
        <v>63</v>
      </c>
      <c r="E51" s="278" t="s">
        <v>32</v>
      </c>
      <c r="G51" s="140"/>
      <c r="H51" s="6" t="s">
        <v>33</v>
      </c>
      <c r="I51" s="143">
        <v>8</v>
      </c>
      <c r="K51" s="307" t="str">
        <f>D51</f>
        <v>1.5.2</v>
      </c>
      <c r="L51" s="44"/>
      <c r="M51" s="4"/>
      <c r="N51" s="215">
        <v>4</v>
      </c>
      <c r="O51" s="240" t="s">
        <v>64</v>
      </c>
      <c r="P51" s="226">
        <v>0</v>
      </c>
      <c r="Q51" s="216" t="s">
        <v>22</v>
      </c>
      <c r="R51" s="227"/>
      <c r="S51" s="39"/>
      <c r="T51" s="172"/>
      <c r="U51" s="130"/>
      <c r="V51" s="4"/>
    </row>
    <row r="52" spans="1:22" s="5" customFormat="1" ht="15.5" customHeight="1" thickBot="1" x14ac:dyDescent="0.45">
      <c r="A52" s="35"/>
      <c r="B52" s="28"/>
      <c r="C52" s="279"/>
      <c r="D52" s="244" t="s">
        <v>65</v>
      </c>
      <c r="E52" s="278" t="s">
        <v>36</v>
      </c>
      <c r="G52" s="140"/>
      <c r="H52" s="6" t="s">
        <v>33</v>
      </c>
      <c r="I52" s="143">
        <v>22</v>
      </c>
      <c r="J52" s="106"/>
      <c r="K52" s="307" t="str">
        <f>D52</f>
        <v>1.5.3</v>
      </c>
      <c r="L52" s="44"/>
      <c r="M52" s="4"/>
      <c r="N52" s="215">
        <v>5</v>
      </c>
      <c r="O52" s="240" t="s">
        <v>66</v>
      </c>
      <c r="P52" s="226">
        <v>0</v>
      </c>
      <c r="Q52" s="216" t="s">
        <v>22</v>
      </c>
      <c r="R52" s="227"/>
      <c r="S52" s="39"/>
      <c r="T52" s="172"/>
      <c r="U52" s="130"/>
      <c r="V52" s="4"/>
    </row>
    <row r="53" spans="1:22" s="5" customFormat="1" ht="15.5" customHeight="1" thickBot="1" x14ac:dyDescent="0.45">
      <c r="A53" s="35"/>
      <c r="B53" s="28"/>
      <c r="C53" s="261">
        <v>1.6</v>
      </c>
      <c r="D53" s="277" t="s">
        <v>67</v>
      </c>
      <c r="E53" s="277"/>
      <c r="G53" s="140"/>
      <c r="H53" s="105" t="s">
        <v>24</v>
      </c>
      <c r="I53" s="142">
        <f>(IF(I54=Normalize!G27,5,IF(I54&lt;Normalize!G27,5,IF(I54&gt;Normalize!I27,0,((I54-Normalize!G27)/(Normalize!I27-Normalize!G27))*5)))+IF(I55=Normalize!G28,5,IF(I55&lt;Normalize!G28,5,IF(I55&gt;Normalize!I28,0,5-((I55-Normalize!G28)/(Normalize!I28-Normalize!G28))*5)))+IF(I56=Normalize!G29,5,IF(I56&lt;Normalize!G29,5,IF(I56&gt;Normalize!I29,0,5-((I56-Normalize!G29)/(Normalize!I29-Normalize!G29))*5))))/3</f>
        <v>5</v>
      </c>
      <c r="J53" s="106"/>
      <c r="K53" s="136"/>
      <c r="L53" s="2"/>
      <c r="M53" s="4"/>
      <c r="N53" s="215">
        <v>6</v>
      </c>
      <c r="O53" s="240" t="s">
        <v>68</v>
      </c>
      <c r="P53" s="226">
        <v>0</v>
      </c>
      <c r="Q53" s="216" t="s">
        <v>22</v>
      </c>
      <c r="R53" s="227"/>
      <c r="S53" s="39"/>
      <c r="T53" s="172"/>
      <c r="U53" s="130"/>
      <c r="V53" s="4"/>
    </row>
    <row r="54" spans="1:22" s="5" customFormat="1" ht="15.5" customHeight="1" x14ac:dyDescent="0.4">
      <c r="A54" s="35"/>
      <c r="B54" s="28"/>
      <c r="C54" s="279"/>
      <c r="D54" s="244" t="s">
        <v>69</v>
      </c>
      <c r="E54" s="278" t="s">
        <v>28</v>
      </c>
      <c r="H54" s="6" t="s">
        <v>29</v>
      </c>
      <c r="I54" s="138">
        <v>5</v>
      </c>
      <c r="J54" s="106"/>
      <c r="K54" s="307" t="str">
        <f>D54</f>
        <v>1.6.1</v>
      </c>
      <c r="L54" s="44"/>
      <c r="M54" s="4"/>
      <c r="N54" s="215">
        <v>7</v>
      </c>
      <c r="O54" s="240" t="s">
        <v>70</v>
      </c>
      <c r="P54" s="226">
        <v>0</v>
      </c>
      <c r="Q54" s="216" t="s">
        <v>22</v>
      </c>
      <c r="R54" s="227"/>
      <c r="S54" s="39"/>
      <c r="T54" s="172"/>
      <c r="U54" s="130"/>
      <c r="V54" s="4"/>
    </row>
    <row r="55" spans="1:22" s="5" customFormat="1" ht="15.5" customHeight="1" x14ac:dyDescent="0.4">
      <c r="A55" s="35"/>
      <c r="B55" s="28"/>
      <c r="C55" s="279"/>
      <c r="D55" s="244" t="s">
        <v>71</v>
      </c>
      <c r="E55" s="278" t="s">
        <v>32</v>
      </c>
      <c r="H55" s="6" t="s">
        <v>33</v>
      </c>
      <c r="I55" s="143">
        <v>8</v>
      </c>
      <c r="J55" s="139"/>
      <c r="K55" s="307" t="str">
        <f>D55</f>
        <v>1.6.2</v>
      </c>
      <c r="L55" s="44"/>
      <c r="M55" s="4"/>
      <c r="N55" s="215">
        <v>8</v>
      </c>
      <c r="O55" s="240" t="s">
        <v>72</v>
      </c>
      <c r="P55" s="226">
        <v>5</v>
      </c>
      <c r="Q55" s="216" t="s">
        <v>22</v>
      </c>
      <c r="R55" s="227"/>
      <c r="S55" s="39"/>
      <c r="T55" s="172"/>
      <c r="U55" s="130"/>
      <c r="V55" s="4"/>
    </row>
    <row r="56" spans="1:22" s="5" customFormat="1" ht="15.5" customHeight="1" thickBot="1" x14ac:dyDescent="0.45">
      <c r="A56" s="35"/>
      <c r="C56" s="279"/>
      <c r="D56" s="244" t="s">
        <v>73</v>
      </c>
      <c r="E56" s="278" t="s">
        <v>36</v>
      </c>
      <c r="H56" s="6" t="s">
        <v>33</v>
      </c>
      <c r="I56" s="143">
        <v>22</v>
      </c>
      <c r="J56" s="106"/>
      <c r="K56" s="307" t="str">
        <f>D56</f>
        <v>1.6.3</v>
      </c>
      <c r="L56" s="44"/>
      <c r="M56" s="4"/>
      <c r="N56" s="215">
        <v>9</v>
      </c>
      <c r="O56" s="240" t="s">
        <v>74</v>
      </c>
      <c r="P56" s="226">
        <v>0</v>
      </c>
      <c r="Q56" s="216" t="s">
        <v>22</v>
      </c>
      <c r="R56" s="227"/>
      <c r="S56" s="39"/>
      <c r="T56" s="172"/>
      <c r="U56" s="130"/>
      <c r="V56" s="4"/>
    </row>
    <row r="57" spans="1:22" s="5" customFormat="1" ht="17" customHeight="1" thickBot="1" x14ac:dyDescent="0.45">
      <c r="A57" s="35"/>
      <c r="B57" s="28"/>
      <c r="C57" s="245">
        <v>1.7</v>
      </c>
      <c r="D57" s="277" t="s">
        <v>75</v>
      </c>
      <c r="E57" s="277"/>
      <c r="G57" s="140"/>
      <c r="H57" s="105" t="s">
        <v>24</v>
      </c>
      <c r="I57" s="142">
        <f>(IF(I58=Normalize!G31,5,IF(I58&lt;Normalize!G31,5,IF(I58&gt;Normalize!I31,0,((I58-Normalize!G31)/(Normalize!I31-Normalize!G31))*5)))+IF(I59=Normalize!G32,5,IF(I59&lt;Normalize!G32,5,IF(I59&gt;Normalize!I32,0,5-((I59-Normalize!G32)/(Normalize!I32-Normalize!G32))*5)))+IF(I60=Normalize!G33,5,IF(I60&lt;Normalize!G33,5,IF(I60&gt;Normalize!I33,0,5-((I60-Normalize!G33)/(Normalize!I33-Normalize!G33))*5))))/3</f>
        <v>5</v>
      </c>
      <c r="K57" s="136"/>
      <c r="L57" s="2"/>
      <c r="M57" s="4"/>
      <c r="N57" s="215">
        <v>10</v>
      </c>
      <c r="O57" s="240" t="s">
        <v>76</v>
      </c>
      <c r="P57" s="226">
        <v>0</v>
      </c>
      <c r="Q57" s="216" t="s">
        <v>22</v>
      </c>
      <c r="R57" s="227" t="s">
        <v>17</v>
      </c>
      <c r="S57" s="39"/>
      <c r="T57" s="172"/>
      <c r="U57" s="130"/>
      <c r="V57" s="4"/>
    </row>
    <row r="58" spans="1:22" s="244" customFormat="1" ht="17" customHeight="1" x14ac:dyDescent="0.4">
      <c r="A58" s="35"/>
      <c r="B58" s="243"/>
      <c r="D58" s="244" t="s">
        <v>77</v>
      </c>
      <c r="E58" s="278" t="s">
        <v>28</v>
      </c>
      <c r="F58" s="5"/>
      <c r="G58" s="5"/>
      <c r="H58" s="6" t="s">
        <v>29</v>
      </c>
      <c r="I58" s="138">
        <v>5</v>
      </c>
      <c r="J58" s="106"/>
      <c r="K58" s="307" t="str">
        <f>D58</f>
        <v>1.7.1</v>
      </c>
      <c r="L58" s="44"/>
      <c r="M58" s="4"/>
      <c r="N58" s="215">
        <v>11</v>
      </c>
      <c r="O58" s="240" t="s">
        <v>78</v>
      </c>
      <c r="P58" s="226">
        <v>5</v>
      </c>
      <c r="Q58" s="216" t="s">
        <v>22</v>
      </c>
      <c r="R58" s="227"/>
      <c r="S58" s="39"/>
      <c r="T58" s="276"/>
      <c r="U58" s="250"/>
      <c r="V58" s="248"/>
    </row>
    <row r="59" spans="1:22" s="244" customFormat="1" ht="17" customHeight="1" x14ac:dyDescent="0.4">
      <c r="A59" s="35"/>
      <c r="B59" s="243"/>
      <c r="D59" s="244" t="s">
        <v>79</v>
      </c>
      <c r="E59" s="278" t="s">
        <v>32</v>
      </c>
      <c r="F59" s="5"/>
      <c r="G59" s="5"/>
      <c r="H59" s="6" t="s">
        <v>33</v>
      </c>
      <c r="I59" s="143">
        <v>8</v>
      </c>
      <c r="J59" s="106"/>
      <c r="K59" s="307" t="str">
        <f>D59</f>
        <v>1.7.2</v>
      </c>
      <c r="L59" s="44"/>
      <c r="M59" s="248"/>
      <c r="N59" s="215">
        <v>12</v>
      </c>
      <c r="O59" s="240" t="s">
        <v>80</v>
      </c>
      <c r="P59" s="226">
        <v>0</v>
      </c>
      <c r="Q59" s="216" t="s">
        <v>22</v>
      </c>
      <c r="R59" s="227"/>
      <c r="S59" s="275"/>
      <c r="T59" s="276"/>
      <c r="U59" s="250"/>
      <c r="V59" s="248"/>
    </row>
    <row r="60" spans="1:22" s="244" customFormat="1" ht="17" customHeight="1" thickBot="1" x14ac:dyDescent="0.45">
      <c r="A60" s="35"/>
      <c r="B60" s="243"/>
      <c r="D60" s="244" t="s">
        <v>81</v>
      </c>
      <c r="E60" s="278" t="s">
        <v>36</v>
      </c>
      <c r="F60" s="5"/>
      <c r="G60" s="5"/>
      <c r="H60" s="6" t="s">
        <v>33</v>
      </c>
      <c r="I60" s="143">
        <v>22</v>
      </c>
      <c r="J60" s="106"/>
      <c r="K60" s="307" t="str">
        <f>D60</f>
        <v>1.7.3</v>
      </c>
      <c r="L60" s="44"/>
      <c r="M60" s="248"/>
      <c r="N60" s="215">
        <v>13</v>
      </c>
      <c r="O60" s="240" t="s">
        <v>82</v>
      </c>
      <c r="P60" s="226">
        <v>0</v>
      </c>
      <c r="Q60" s="216" t="s">
        <v>22</v>
      </c>
      <c r="R60" s="227"/>
      <c r="S60" s="275"/>
      <c r="T60" s="276"/>
      <c r="U60" s="250"/>
      <c r="V60" s="248"/>
    </row>
    <row r="61" spans="1:22" s="244" customFormat="1" ht="17" customHeight="1" thickBot="1" x14ac:dyDescent="0.45">
      <c r="A61" s="35"/>
      <c r="B61" s="243"/>
      <c r="C61" s="245">
        <v>1.8</v>
      </c>
      <c r="D61" s="277" t="s">
        <v>83</v>
      </c>
      <c r="E61" s="257"/>
      <c r="F61" s="5"/>
      <c r="G61" s="140"/>
      <c r="H61" s="105" t="s">
        <v>24</v>
      </c>
      <c r="I61" s="142">
        <f>(IF(I62=Normalize!G35,5,IF(I62&lt;Normalize!G35,5,IF(I62&gt;Normalize!I35,0,((I62-Normalize!G35)/(Normalize!I35-Normalize!G35))*5)))+IF(I63=Normalize!G36,5,IF(I63&lt;Normalize!G36,5,IF(I63&gt;Normalize!I36,0,5-((I63-Normalize!G36)/(Normalize!I36-Normalize!G36))*5)))+IF(I64=Normalize!G37,5,IF(I64&lt;Normalize!G37,5,IF(I64&gt;Normalize!I37,0,5-((I64-Normalize!G37)/(Normalize!I37-Normalize!G37))*5))))/3</f>
        <v>5</v>
      </c>
      <c r="J61" s="4"/>
      <c r="K61" s="136"/>
      <c r="L61" s="2"/>
      <c r="M61" s="248"/>
      <c r="N61" s="215">
        <v>14</v>
      </c>
      <c r="O61" s="240" t="s">
        <v>84</v>
      </c>
      <c r="P61" s="226">
        <v>0</v>
      </c>
      <c r="Q61" s="216" t="s">
        <v>22</v>
      </c>
      <c r="R61" s="227"/>
      <c r="S61" s="275"/>
      <c r="T61" s="276"/>
      <c r="U61" s="250"/>
      <c r="V61" s="248"/>
    </row>
    <row r="62" spans="1:22" s="244" customFormat="1" ht="17" customHeight="1" x14ac:dyDescent="0.4">
      <c r="A62" s="35"/>
      <c r="B62" s="243"/>
      <c r="D62" s="244" t="s">
        <v>85</v>
      </c>
      <c r="E62" s="278" t="s">
        <v>28</v>
      </c>
      <c r="F62" s="5"/>
      <c r="G62" s="5"/>
      <c r="H62" s="6" t="s">
        <v>29</v>
      </c>
      <c r="I62" s="138">
        <v>5</v>
      </c>
      <c r="J62" s="4"/>
      <c r="K62" s="307" t="str">
        <f>D62</f>
        <v>1.8.1</v>
      </c>
      <c r="L62" s="44"/>
      <c r="M62" s="248"/>
      <c r="N62" s="215">
        <v>15</v>
      </c>
      <c r="O62" s="240" t="s">
        <v>86</v>
      </c>
      <c r="P62" s="226">
        <v>0</v>
      </c>
      <c r="Q62" s="216" t="s">
        <v>22</v>
      </c>
      <c r="R62" s="227"/>
      <c r="S62" s="275"/>
      <c r="T62" s="276"/>
      <c r="U62" s="250"/>
      <c r="V62" s="248"/>
    </row>
    <row r="63" spans="1:22" s="244" customFormat="1" ht="17" customHeight="1" x14ac:dyDescent="0.4">
      <c r="A63" s="35"/>
      <c r="B63" s="243"/>
      <c r="D63" s="244" t="s">
        <v>87</v>
      </c>
      <c r="E63" s="278" t="s">
        <v>32</v>
      </c>
      <c r="F63" s="5"/>
      <c r="G63" s="5"/>
      <c r="H63" s="6" t="s">
        <v>33</v>
      </c>
      <c r="I63" s="143">
        <v>8</v>
      </c>
      <c r="J63" s="5"/>
      <c r="K63" s="307" t="str">
        <f>D63</f>
        <v>1.8.2</v>
      </c>
      <c r="L63" s="44"/>
      <c r="M63" s="248"/>
      <c r="N63" s="215">
        <v>16</v>
      </c>
      <c r="O63" s="240" t="s">
        <v>88</v>
      </c>
      <c r="P63" s="226">
        <v>0</v>
      </c>
      <c r="Q63" s="216" t="s">
        <v>22</v>
      </c>
      <c r="R63" s="227"/>
      <c r="S63" s="275"/>
      <c r="T63" s="276"/>
      <c r="U63" s="250"/>
      <c r="V63" s="248"/>
    </row>
    <row r="64" spans="1:22" s="244" customFormat="1" ht="17" customHeight="1" thickBot="1" x14ac:dyDescent="0.45">
      <c r="A64" s="35"/>
      <c r="B64" s="243"/>
      <c r="D64" s="244" t="s">
        <v>89</v>
      </c>
      <c r="E64" s="278" t="s">
        <v>36</v>
      </c>
      <c r="F64" s="5"/>
      <c r="G64" s="5"/>
      <c r="H64" s="6" t="s">
        <v>33</v>
      </c>
      <c r="I64" s="143">
        <v>22</v>
      </c>
      <c r="J64" s="106"/>
      <c r="K64" s="307" t="str">
        <f>D64</f>
        <v>1.8.3</v>
      </c>
      <c r="L64" s="44"/>
      <c r="M64" s="248"/>
      <c r="N64" s="215">
        <v>17</v>
      </c>
      <c r="O64" s="240" t="s">
        <v>90</v>
      </c>
      <c r="P64" s="226">
        <v>0</v>
      </c>
      <c r="Q64" s="216" t="s">
        <v>22</v>
      </c>
      <c r="R64" s="227"/>
      <c r="S64" s="275"/>
      <c r="T64" s="276"/>
      <c r="U64" s="250"/>
      <c r="V64" s="248"/>
    </row>
    <row r="65" spans="1:22" s="244" customFormat="1" ht="17" customHeight="1" thickBot="1" x14ac:dyDescent="0.45">
      <c r="A65" s="35"/>
      <c r="B65" s="243"/>
      <c r="C65" s="245">
        <v>1.9</v>
      </c>
      <c r="D65" s="277" t="s">
        <v>91</v>
      </c>
      <c r="E65" s="257"/>
      <c r="F65" s="5"/>
      <c r="G65" s="140"/>
      <c r="H65" s="105" t="s">
        <v>24</v>
      </c>
      <c r="I65" s="142">
        <f>(IF(I66=Normalize!G39,5,IF(I66&lt;Normalize!G39,5,IF(I66&gt;Normalize!I39,0,((I66-Normalize!G39)/(Normalize!I39-Normalize!G39))*5)))+IF(I67=Normalize!G40,5,IF(I67&lt;Normalize!G40,5,IF(I67&gt;Normalize!I40,0,5-((I67-Normalize!G40)/(Normalize!I40-Normalize!G40))*5)))+IF(I68=Normalize!G41,5,IF(I68&lt;Normalize!G41,5,IF(I68&gt;Normalize!I41,0,5-((I68-Normalize!G41)/(Normalize!I41-Normalize!G41))*5))))/3</f>
        <v>5</v>
      </c>
      <c r="J65" s="106"/>
      <c r="K65" s="136"/>
      <c r="L65" s="2"/>
      <c r="M65" s="248"/>
      <c r="N65" s="215">
        <v>18</v>
      </c>
      <c r="O65" s="240" t="s">
        <v>92</v>
      </c>
      <c r="P65" s="226">
        <v>0</v>
      </c>
      <c r="Q65" s="216" t="s">
        <v>22</v>
      </c>
      <c r="R65" s="227"/>
      <c r="S65" s="275"/>
      <c r="T65" s="276"/>
      <c r="U65" s="250"/>
      <c r="V65" s="248"/>
    </row>
    <row r="66" spans="1:22" s="244" customFormat="1" ht="17" customHeight="1" x14ac:dyDescent="0.4">
      <c r="A66" s="35"/>
      <c r="B66" s="243"/>
      <c r="C66" s="279"/>
      <c r="D66" s="244" t="s">
        <v>93</v>
      </c>
      <c r="E66" s="278" t="s">
        <v>28</v>
      </c>
      <c r="F66" s="5"/>
      <c r="G66" s="5"/>
      <c r="H66" s="6" t="s">
        <v>29</v>
      </c>
      <c r="I66" s="138">
        <v>5</v>
      </c>
      <c r="J66" s="151"/>
      <c r="K66" s="307" t="str">
        <f>D66</f>
        <v>1.9.1</v>
      </c>
      <c r="L66" s="44"/>
      <c r="M66" s="248"/>
      <c r="N66" s="228">
        <v>19</v>
      </c>
      <c r="O66" s="242" t="s">
        <v>94</v>
      </c>
      <c r="P66" s="230">
        <v>0</v>
      </c>
      <c r="Q66" s="229" t="s">
        <v>22</v>
      </c>
      <c r="R66" s="231"/>
      <c r="S66" s="275"/>
      <c r="T66" s="276"/>
      <c r="U66" s="250"/>
      <c r="V66" s="248"/>
    </row>
    <row r="67" spans="1:22" s="244" customFormat="1" ht="17" customHeight="1" x14ac:dyDescent="0.4">
      <c r="A67" s="35"/>
      <c r="B67" s="243"/>
      <c r="D67" s="244" t="s">
        <v>95</v>
      </c>
      <c r="E67" s="278" t="s">
        <v>32</v>
      </c>
      <c r="F67" s="5"/>
      <c r="G67" s="5"/>
      <c r="H67" s="6" t="s">
        <v>33</v>
      </c>
      <c r="I67" s="143">
        <v>8</v>
      </c>
      <c r="J67" s="5"/>
      <c r="K67" s="307" t="str">
        <f>D67</f>
        <v>1.9.2</v>
      </c>
      <c r="L67" s="44"/>
      <c r="M67" s="248"/>
      <c r="N67" s="215">
        <v>20</v>
      </c>
      <c r="O67" s="240" t="s">
        <v>96</v>
      </c>
      <c r="P67" s="226">
        <v>0</v>
      </c>
      <c r="Q67" s="216" t="s">
        <v>26</v>
      </c>
      <c r="R67" s="227"/>
      <c r="S67" s="275"/>
      <c r="T67" s="276"/>
      <c r="U67" s="250"/>
      <c r="V67" s="248"/>
    </row>
    <row r="68" spans="1:22" s="244" customFormat="1" ht="17" customHeight="1" thickBot="1" x14ac:dyDescent="0.45">
      <c r="A68" s="35"/>
      <c r="B68" s="243"/>
      <c r="C68" s="279"/>
      <c r="D68" s="244" t="s">
        <v>97</v>
      </c>
      <c r="E68" s="278" t="s">
        <v>36</v>
      </c>
      <c r="F68" s="5"/>
      <c r="G68" s="5"/>
      <c r="H68" s="6" t="s">
        <v>33</v>
      </c>
      <c r="I68" s="143">
        <v>22</v>
      </c>
      <c r="J68" s="106"/>
      <c r="K68" s="307" t="str">
        <f>D68</f>
        <v>1.9.3</v>
      </c>
      <c r="L68" s="44"/>
      <c r="M68" s="248"/>
      <c r="N68" s="215">
        <v>21</v>
      </c>
      <c r="O68" s="240" t="s">
        <v>98</v>
      </c>
      <c r="P68" s="226">
        <v>0</v>
      </c>
      <c r="Q68" s="216" t="s">
        <v>26</v>
      </c>
      <c r="R68" s="227"/>
      <c r="S68" s="275"/>
      <c r="T68" s="276"/>
      <c r="U68" s="250"/>
      <c r="V68" s="248"/>
    </row>
    <row r="69" spans="1:22" s="244" customFormat="1" ht="17" customHeight="1" thickBot="1" x14ac:dyDescent="0.45">
      <c r="A69" s="35"/>
      <c r="B69" s="243"/>
      <c r="C69" s="280">
        <v>1.1000000000000001</v>
      </c>
      <c r="D69" s="277" t="s">
        <v>99</v>
      </c>
      <c r="E69" s="257"/>
      <c r="F69" s="5"/>
      <c r="G69" s="140"/>
      <c r="H69" s="105" t="s">
        <v>24</v>
      </c>
      <c r="I69" s="142">
        <f>(IF(I70=Normalize!G43,5,IF(I70&lt;Normalize!G43,5,IF(I70&gt;Normalize!I43,0,((I70-Normalize!G43)/(Normalize!I43-Normalize!G43))*5)))+IF(I71=Normalize!G44,5,IF(I71&lt;Normalize!G44,5,IF(I71&gt;Normalize!I44,0,5-((I71-Normalize!G44)/(Normalize!I44-Normalize!G44))*5)))+IF(I72=Normalize!G45,5,IF(I72&lt;Normalize!G45,5,IF(I72&gt;Normalize!I45,0,5-((I72-Normalize!G45)/(Normalize!I45-Normalize!G45))*5))))/3</f>
        <v>5</v>
      </c>
      <c r="J69" s="106"/>
      <c r="K69" s="136"/>
      <c r="L69" s="2"/>
      <c r="M69" s="248"/>
      <c r="N69" s="215">
        <v>22</v>
      </c>
      <c r="O69" s="240" t="s">
        <v>100</v>
      </c>
      <c r="P69" s="226">
        <v>5</v>
      </c>
      <c r="Q69" s="216" t="s">
        <v>26</v>
      </c>
      <c r="R69" s="227" t="s">
        <v>53</v>
      </c>
      <c r="S69" s="275"/>
      <c r="T69" s="276"/>
      <c r="U69" s="250"/>
      <c r="V69" s="248"/>
    </row>
    <row r="70" spans="1:22" s="244" customFormat="1" ht="17" customHeight="1" thickBot="1" x14ac:dyDescent="0.45">
      <c r="A70" s="35"/>
      <c r="B70" s="243"/>
      <c r="C70" s="257"/>
      <c r="D70" s="244" t="s">
        <v>101</v>
      </c>
      <c r="E70" s="278" t="s">
        <v>28</v>
      </c>
      <c r="F70" s="5"/>
      <c r="G70" s="5"/>
      <c r="H70" s="6" t="s">
        <v>29</v>
      </c>
      <c r="I70" s="138">
        <v>5</v>
      </c>
      <c r="J70" s="106"/>
      <c r="K70" s="307" t="str">
        <f>D70</f>
        <v>1.10.1</v>
      </c>
      <c r="L70" s="44"/>
      <c r="M70" s="248"/>
      <c r="N70" s="215">
        <v>23</v>
      </c>
      <c r="O70" s="240" t="s">
        <v>102</v>
      </c>
      <c r="P70" s="226">
        <v>0</v>
      </c>
      <c r="Q70" s="216" t="s">
        <v>26</v>
      </c>
      <c r="R70" s="227"/>
      <c r="S70" s="275"/>
      <c r="T70" s="276"/>
      <c r="U70" s="250"/>
      <c r="V70" s="248"/>
    </row>
    <row r="71" spans="1:22" s="244" customFormat="1" ht="17" customHeight="1" x14ac:dyDescent="0.4">
      <c r="A71" s="35"/>
      <c r="B71" s="243"/>
      <c r="C71" s="257"/>
      <c r="D71" s="244" t="s">
        <v>103</v>
      </c>
      <c r="E71" s="278" t="s">
        <v>32</v>
      </c>
      <c r="F71" s="5"/>
      <c r="G71" s="5"/>
      <c r="H71" s="6" t="s">
        <v>33</v>
      </c>
      <c r="I71" s="143">
        <v>8</v>
      </c>
      <c r="J71" s="139"/>
      <c r="K71" s="307" t="str">
        <f>D71</f>
        <v>1.10.2</v>
      </c>
      <c r="L71" s="44"/>
      <c r="M71" s="248"/>
      <c r="N71" s="228">
        <v>24</v>
      </c>
      <c r="O71" s="242" t="s">
        <v>104</v>
      </c>
      <c r="P71" s="230">
        <v>0</v>
      </c>
      <c r="Q71" s="229" t="s">
        <v>26</v>
      </c>
      <c r="R71" s="231"/>
      <c r="S71" s="275"/>
      <c r="T71" s="276"/>
      <c r="U71" s="250"/>
      <c r="V71" s="248"/>
    </row>
    <row r="72" spans="1:22" s="244" customFormat="1" ht="17" customHeight="1" x14ac:dyDescent="0.4">
      <c r="A72" s="35"/>
      <c r="B72" s="243"/>
      <c r="C72" s="257"/>
      <c r="D72" s="244" t="s">
        <v>105</v>
      </c>
      <c r="E72" s="278" t="s">
        <v>36</v>
      </c>
      <c r="F72" s="5"/>
      <c r="G72" s="5"/>
      <c r="H72" s="6" t="s">
        <v>33</v>
      </c>
      <c r="I72" s="143">
        <v>22</v>
      </c>
      <c r="J72" s="106"/>
      <c r="K72" s="307" t="str">
        <f>D72</f>
        <v>1.10.3</v>
      </c>
      <c r="L72" s="44"/>
      <c r="M72" s="248"/>
      <c r="N72" s="215">
        <v>25</v>
      </c>
      <c r="O72" s="240" t="s">
        <v>106</v>
      </c>
      <c r="P72" s="226">
        <v>0</v>
      </c>
      <c r="Q72" s="216" t="s">
        <v>30</v>
      </c>
      <c r="R72" s="227"/>
      <c r="S72" s="275"/>
      <c r="T72" s="276"/>
      <c r="U72" s="250"/>
      <c r="V72" s="248"/>
    </row>
    <row r="73" spans="1:22" s="244" customFormat="1" ht="17" customHeight="1" thickBot="1" x14ac:dyDescent="0.45">
      <c r="A73" s="35"/>
      <c r="B73" s="243"/>
      <c r="C73" s="261"/>
      <c r="D73" s="314"/>
      <c r="E73" s="314"/>
      <c r="F73" s="314"/>
      <c r="G73" s="274"/>
      <c r="H73" s="246"/>
      <c r="I73" s="247"/>
      <c r="J73" s="261"/>
      <c r="K73" s="254"/>
      <c r="L73" s="255"/>
      <c r="M73" s="248"/>
      <c r="N73" s="215">
        <v>26</v>
      </c>
      <c r="O73" s="240" t="s">
        <v>107</v>
      </c>
      <c r="P73" s="226">
        <v>0</v>
      </c>
      <c r="Q73" s="216" t="s">
        <v>30</v>
      </c>
      <c r="R73" s="227"/>
      <c r="S73" s="275"/>
      <c r="T73" s="276"/>
      <c r="U73" s="250"/>
      <c r="V73" s="248"/>
    </row>
    <row r="74" spans="1:22" s="5" customFormat="1" ht="18" customHeight="1" thickBot="1" x14ac:dyDescent="0.45">
      <c r="A74" s="35"/>
      <c r="B74" s="28">
        <v>2</v>
      </c>
      <c r="C74" s="109" t="s">
        <v>108</v>
      </c>
      <c r="H74" s="105" t="s">
        <v>24</v>
      </c>
      <c r="I74" s="110">
        <f>(IF(I75=Normalize!G48,5,IF(I75&lt;Normalize!G48,5,IF(I75&gt;Normalize!I48,0,5-((I75-Normalize!G48)/(Normalize!I48-Normalize!G48))*5)))+IF(I76=Normalize!G49,5,IF(I76&lt;Normalize!G49,5,IF(I76&gt;Normalize!I49,0,5-((I76-Normalize!G49)/(Normalize!I49-Normalize!G49))*5)))+IF(I77=Normalize!G50,5,IF(I77&lt;Normalize!G50,5,IF(I77&gt;Normalize!I50,0,5-((I77-Normalize!G50)/(Normalize!I50-Normalize!G50))*5)))+IF(I78=Normalize!G51,5,IF(I78&lt;Normalize!G51,5,IF(I78&gt;Normalize!I51,0,5-((I78-Normalize!G51)/(Normalize!I51-Normalize!G51))*5)))+IF(I79=Normalize!G52,5,IF(I79&lt;Normalize!G52,5,IF(I79&gt;Normalize!I52,0,5-((I79-Normalize!G52)/(Normalize!I52-Normalize!G52))*5)))+IF(I80=Normalize!G53,5,IF(I80&lt;Normalize!G53,5,IF(I80&gt;Normalize!I53,0,5-((I80-Normalize!G53)/(Normalize!I53-Normalize!G53))*5)))+IF(I81=Normalize!G54,5,IF(I81&lt;Normalize!G54,5,IF(I81&gt;Normalize!I54,0,5-((I81-Normalize!G54)/(Normalize!I54-Normalize!G54))*5)))+IF(I82=Normalize!G55,5,IF(I82&lt;Normalize!G55,5,IF(I82&gt;Normalize!I55,0,5-((I82-Normalize!G55)/(Normalize!I55-Normalize!G55))*5)))+IF(I83=Normalize!G56,5,IF(I83&lt;Normalize!G56,5,IF(I83&gt;Normalize!I56,0,5-((I83-Normalize!G56)/(Normalize!I56-Normalize!G56))*5)))+IF(I84=Normalize!G57,5,IF(I84&lt;Normalize!G57,5,IF(I84&gt;Normalize!I57,0,5-((I84-Normalize!G57)/(Normalize!I57-Normalize!G57))*5))))/10</f>
        <v>5</v>
      </c>
      <c r="J74" s="106"/>
      <c r="K74" s="136"/>
      <c r="L74" s="2"/>
      <c r="M74" s="248"/>
      <c r="N74" s="215">
        <v>27</v>
      </c>
      <c r="O74" s="240" t="s">
        <v>109</v>
      </c>
      <c r="P74" s="226">
        <v>0</v>
      </c>
      <c r="Q74" s="216" t="s">
        <v>30</v>
      </c>
      <c r="R74" s="227"/>
      <c r="S74" s="275"/>
      <c r="T74" s="172"/>
      <c r="U74" s="130"/>
      <c r="V74" s="4"/>
    </row>
    <row r="75" spans="1:22" s="5" customFormat="1" ht="18" customHeight="1" x14ac:dyDescent="0.4">
      <c r="A75" s="35"/>
      <c r="B75" s="28"/>
      <c r="C75" s="355" t="s">
        <v>110</v>
      </c>
      <c r="D75" s="21" t="s">
        <v>22</v>
      </c>
      <c r="E75" s="83"/>
      <c r="H75" s="6" t="s">
        <v>33</v>
      </c>
      <c r="I75" s="356">
        <v>150</v>
      </c>
      <c r="J75" s="139"/>
      <c r="K75" s="307" t="str">
        <f t="shared" ref="K75:K84" si="0">C75</f>
        <v>1.1</v>
      </c>
      <c r="L75" s="44"/>
      <c r="M75" s="4"/>
      <c r="N75" s="215">
        <v>28</v>
      </c>
      <c r="O75" s="240" t="s">
        <v>111</v>
      </c>
      <c r="P75" s="226">
        <v>0</v>
      </c>
      <c r="Q75" s="216" t="s">
        <v>30</v>
      </c>
      <c r="R75" s="227"/>
      <c r="S75" s="39"/>
      <c r="T75" s="172"/>
      <c r="U75" s="130"/>
      <c r="V75" s="4"/>
    </row>
    <row r="76" spans="1:22" s="5" customFormat="1" ht="18" customHeight="1" x14ac:dyDescent="0.4">
      <c r="A76" s="35"/>
      <c r="B76" s="28"/>
      <c r="C76" s="355" t="s">
        <v>112</v>
      </c>
      <c r="D76" s="21" t="s">
        <v>26</v>
      </c>
      <c r="E76" s="83"/>
      <c r="H76" s="6" t="s">
        <v>33</v>
      </c>
      <c r="I76" s="356">
        <v>66</v>
      </c>
      <c r="J76" s="139"/>
      <c r="K76" s="307" t="str">
        <f t="shared" si="0"/>
        <v>1.2</v>
      </c>
      <c r="L76" s="44"/>
      <c r="M76" s="4"/>
      <c r="N76" s="215">
        <v>29</v>
      </c>
      <c r="O76" s="240" t="s">
        <v>113</v>
      </c>
      <c r="P76" s="226">
        <v>0</v>
      </c>
      <c r="Q76" s="216" t="s">
        <v>30</v>
      </c>
      <c r="R76" s="227"/>
      <c r="S76" s="39"/>
      <c r="T76" s="172"/>
      <c r="U76" s="130"/>
      <c r="V76" s="4"/>
    </row>
    <row r="77" spans="1:22" s="5" customFormat="1" ht="15.5" customHeight="1" x14ac:dyDescent="0.4">
      <c r="A77" s="35"/>
      <c r="B77" s="28"/>
      <c r="C77" s="355" t="s">
        <v>114</v>
      </c>
      <c r="D77" s="21" t="s">
        <v>30</v>
      </c>
      <c r="E77" s="83"/>
      <c r="H77" s="6" t="s">
        <v>33</v>
      </c>
      <c r="I77" s="356">
        <v>225</v>
      </c>
      <c r="J77" s="106"/>
      <c r="K77" s="307" t="str">
        <f t="shared" si="0"/>
        <v>1.3</v>
      </c>
      <c r="L77" s="44"/>
      <c r="M77" s="4"/>
      <c r="N77" s="215">
        <v>30</v>
      </c>
      <c r="O77" s="240" t="s">
        <v>115</v>
      </c>
      <c r="P77" s="226">
        <v>0</v>
      </c>
      <c r="Q77" s="216" t="s">
        <v>30</v>
      </c>
      <c r="R77" s="227"/>
      <c r="S77" s="39"/>
      <c r="T77" s="172"/>
      <c r="U77" s="130"/>
      <c r="V77" s="4"/>
    </row>
    <row r="78" spans="1:22" s="5" customFormat="1" ht="18" customHeight="1" x14ac:dyDescent="0.4">
      <c r="A78" s="35"/>
      <c r="B78" s="28"/>
      <c r="C78" s="355" t="s">
        <v>116</v>
      </c>
      <c r="D78" s="21" t="s">
        <v>34</v>
      </c>
      <c r="E78" s="105"/>
      <c r="H78" s="6" t="s">
        <v>33</v>
      </c>
      <c r="I78" s="356">
        <v>125</v>
      </c>
      <c r="J78" s="106"/>
      <c r="K78" s="307" t="str">
        <f t="shared" si="0"/>
        <v>1.4</v>
      </c>
      <c r="L78" s="44"/>
      <c r="M78" s="4"/>
      <c r="N78" s="215">
        <v>31</v>
      </c>
      <c r="O78" s="240" t="s">
        <v>117</v>
      </c>
      <c r="P78" s="226">
        <v>0</v>
      </c>
      <c r="Q78" s="216" t="s">
        <v>30</v>
      </c>
      <c r="R78" s="227" t="s">
        <v>118</v>
      </c>
      <c r="S78" s="39"/>
      <c r="T78" s="172"/>
      <c r="U78" s="130"/>
      <c r="V78" s="4"/>
    </row>
    <row r="79" spans="1:22" s="5" customFormat="1" ht="15.5" customHeight="1" x14ac:dyDescent="0.4">
      <c r="A79" s="35"/>
      <c r="B79" s="28"/>
      <c r="C79" s="355" t="s">
        <v>119</v>
      </c>
      <c r="D79" s="21" t="s">
        <v>120</v>
      </c>
      <c r="E79" s="6"/>
      <c r="H79" s="6" t="s">
        <v>33</v>
      </c>
      <c r="I79" s="356">
        <v>100</v>
      </c>
      <c r="J79" s="106"/>
      <c r="K79" s="307" t="str">
        <f t="shared" si="0"/>
        <v>1.5</v>
      </c>
      <c r="L79" s="44"/>
      <c r="M79" s="4"/>
      <c r="N79" s="215">
        <v>32</v>
      </c>
      <c r="O79" s="240" t="s">
        <v>121</v>
      </c>
      <c r="P79" s="226">
        <v>0</v>
      </c>
      <c r="Q79" s="216" t="s">
        <v>30</v>
      </c>
      <c r="R79" s="227"/>
      <c r="S79" s="39"/>
      <c r="T79" s="172"/>
      <c r="U79" s="130"/>
      <c r="V79" s="4"/>
    </row>
    <row r="80" spans="1:22" s="5" customFormat="1" ht="15.5" customHeight="1" x14ac:dyDescent="0.4">
      <c r="A80" s="35"/>
      <c r="B80" s="28"/>
      <c r="C80" s="355" t="s">
        <v>122</v>
      </c>
      <c r="D80" s="21" t="s">
        <v>39</v>
      </c>
      <c r="E80" s="6"/>
      <c r="H80" s="6" t="s">
        <v>33</v>
      </c>
      <c r="I80" s="356">
        <v>100</v>
      </c>
      <c r="K80" s="307" t="str">
        <f t="shared" si="0"/>
        <v>1.6</v>
      </c>
      <c r="L80" s="44"/>
      <c r="M80" s="4"/>
      <c r="N80" s="215">
        <v>33</v>
      </c>
      <c r="O80" s="240" t="s">
        <v>123</v>
      </c>
      <c r="P80" s="226">
        <v>0</v>
      </c>
      <c r="Q80" s="216" t="s">
        <v>30</v>
      </c>
      <c r="R80" s="227"/>
      <c r="S80" s="39"/>
      <c r="T80" s="172"/>
      <c r="U80" s="130"/>
      <c r="V80" s="4"/>
    </row>
    <row r="81" spans="1:22" s="5" customFormat="1" ht="15.5" customHeight="1" x14ac:dyDescent="0.4">
      <c r="A81" s="35"/>
      <c r="B81" s="28"/>
      <c r="C81" s="355" t="s">
        <v>124</v>
      </c>
      <c r="D81" s="21" t="s">
        <v>41</v>
      </c>
      <c r="E81" s="6"/>
      <c r="H81" s="6" t="s">
        <v>33</v>
      </c>
      <c r="I81" s="356">
        <v>100</v>
      </c>
      <c r="J81" s="106"/>
      <c r="K81" s="307" t="str">
        <f t="shared" si="0"/>
        <v>1.7</v>
      </c>
      <c r="L81" s="44"/>
      <c r="M81" s="4"/>
      <c r="N81" s="215">
        <v>34</v>
      </c>
      <c r="O81" s="240" t="s">
        <v>125</v>
      </c>
      <c r="P81" s="226">
        <v>0</v>
      </c>
      <c r="Q81" s="216" t="s">
        <v>30</v>
      </c>
      <c r="R81" s="227"/>
      <c r="S81" s="39"/>
      <c r="T81" s="172"/>
      <c r="U81" s="130"/>
      <c r="V81" s="4"/>
    </row>
    <row r="82" spans="1:22" s="5" customFormat="1" ht="15.5" customHeight="1" x14ac:dyDescent="0.4">
      <c r="A82" s="35"/>
      <c r="B82" s="28"/>
      <c r="C82" s="355" t="s">
        <v>126</v>
      </c>
      <c r="D82" s="102" t="s">
        <v>43</v>
      </c>
      <c r="E82" s="6"/>
      <c r="H82" s="6" t="s">
        <v>33</v>
      </c>
      <c r="I82" s="356">
        <v>125</v>
      </c>
      <c r="J82" s="106"/>
      <c r="K82" s="307" t="str">
        <f t="shared" si="0"/>
        <v>1.8</v>
      </c>
      <c r="L82" s="44"/>
      <c r="M82" s="4"/>
      <c r="N82" s="215">
        <v>35</v>
      </c>
      <c r="O82" s="240" t="s">
        <v>127</v>
      </c>
      <c r="P82" s="226">
        <v>0</v>
      </c>
      <c r="Q82" s="216" t="s">
        <v>30</v>
      </c>
      <c r="R82" s="227"/>
      <c r="S82" s="39"/>
      <c r="T82" s="172"/>
      <c r="U82" s="130"/>
      <c r="V82" s="4"/>
    </row>
    <row r="83" spans="1:22" s="5" customFormat="1" ht="15.5" customHeight="1" thickBot="1" x14ac:dyDescent="0.45">
      <c r="A83" s="35"/>
      <c r="B83" s="28"/>
      <c r="C83" s="355" t="s">
        <v>128</v>
      </c>
      <c r="D83" s="102" t="s">
        <v>45</v>
      </c>
      <c r="E83" s="6"/>
      <c r="H83" s="6" t="s">
        <v>33</v>
      </c>
      <c r="I83" s="356">
        <v>55</v>
      </c>
      <c r="J83" s="106"/>
      <c r="K83" s="307" t="str">
        <f t="shared" si="0"/>
        <v>1.9</v>
      </c>
      <c r="L83" s="44"/>
      <c r="M83" s="4"/>
      <c r="N83" s="215">
        <v>36</v>
      </c>
      <c r="O83" s="240" t="s">
        <v>129</v>
      </c>
      <c r="P83" s="226">
        <v>0</v>
      </c>
      <c r="Q83" s="216" t="s">
        <v>30</v>
      </c>
      <c r="R83" s="227"/>
      <c r="S83" s="39"/>
      <c r="T83" s="172"/>
      <c r="U83" s="130"/>
      <c r="V83" s="4"/>
    </row>
    <row r="84" spans="1:22" s="5" customFormat="1" ht="18.5" customHeight="1" x14ac:dyDescent="0.4">
      <c r="A84" s="35"/>
      <c r="B84" s="28"/>
      <c r="C84" s="355" t="s">
        <v>130</v>
      </c>
      <c r="D84" s="102" t="s">
        <v>47</v>
      </c>
      <c r="E84" s="6"/>
      <c r="H84" s="6" t="s">
        <v>33</v>
      </c>
      <c r="I84" s="356">
        <v>225</v>
      </c>
      <c r="J84" s="106"/>
      <c r="K84" s="307" t="str">
        <f t="shared" si="0"/>
        <v>1.10</v>
      </c>
      <c r="L84" s="44"/>
      <c r="M84" s="4"/>
      <c r="N84" s="228">
        <v>37</v>
      </c>
      <c r="O84" s="242" t="s">
        <v>131</v>
      </c>
      <c r="P84" s="230">
        <v>0</v>
      </c>
      <c r="Q84" s="229" t="s">
        <v>30</v>
      </c>
      <c r="R84" s="231"/>
      <c r="S84" s="39"/>
      <c r="T84" s="172"/>
      <c r="U84" s="130"/>
      <c r="V84" s="4"/>
    </row>
    <row r="85" spans="1:22" s="5" customFormat="1" ht="15.5" customHeight="1" thickBot="1" x14ac:dyDescent="0.45">
      <c r="A85" s="35"/>
      <c r="B85" s="28"/>
      <c r="C85" s="106"/>
      <c r="D85" s="102"/>
      <c r="I85" s="36"/>
      <c r="J85" s="4"/>
      <c r="K85" s="136"/>
      <c r="L85" s="2"/>
      <c r="M85" s="4"/>
      <c r="N85" s="215">
        <v>38</v>
      </c>
      <c r="O85" s="240" t="s">
        <v>132</v>
      </c>
      <c r="P85" s="226">
        <v>0</v>
      </c>
      <c r="Q85" s="216" t="s">
        <v>34</v>
      </c>
      <c r="R85" s="227"/>
      <c r="S85" s="39"/>
      <c r="T85" s="172"/>
      <c r="U85" s="130"/>
      <c r="V85" s="4"/>
    </row>
    <row r="86" spans="1:22" s="5" customFormat="1" ht="15.5" customHeight="1" thickBot="1" x14ac:dyDescent="0.45">
      <c r="A86" s="35"/>
      <c r="B86" s="19">
        <v>3</v>
      </c>
      <c r="C86" s="104" t="s">
        <v>133</v>
      </c>
      <c r="H86" s="105" t="s">
        <v>24</v>
      </c>
      <c r="I86" s="110">
        <f>SUM(I87:I93)/7</f>
        <v>2.8571428571428572</v>
      </c>
      <c r="M86" s="4"/>
      <c r="N86" s="215">
        <v>39</v>
      </c>
      <c r="O86" s="240" t="s">
        <v>134</v>
      </c>
      <c r="P86" s="226">
        <v>0</v>
      </c>
      <c r="Q86" s="216" t="s">
        <v>34</v>
      </c>
      <c r="R86" s="227"/>
      <c r="S86" s="39"/>
      <c r="T86" s="172"/>
      <c r="U86" s="130"/>
      <c r="V86" s="4"/>
    </row>
    <row r="87" spans="1:22" s="5" customFormat="1" ht="15.5" customHeight="1" x14ac:dyDescent="0.4">
      <c r="A87" s="35"/>
      <c r="B87" s="19"/>
      <c r="C87" s="106">
        <v>3.1</v>
      </c>
      <c r="D87" s="21" t="s">
        <v>135</v>
      </c>
      <c r="H87" s="6" t="s">
        <v>19</v>
      </c>
      <c r="I87" s="107">
        <v>5</v>
      </c>
      <c r="K87" s="307">
        <f t="shared" ref="K87:K93" si="1">C87</f>
        <v>3.1</v>
      </c>
      <c r="L87" s="44"/>
      <c r="M87" s="4"/>
      <c r="N87" s="215">
        <v>40</v>
      </c>
      <c r="O87" s="240" t="s">
        <v>136</v>
      </c>
      <c r="P87" s="226">
        <v>0</v>
      </c>
      <c r="Q87" s="216" t="s">
        <v>34</v>
      </c>
      <c r="R87" s="227"/>
      <c r="S87" s="39"/>
      <c r="T87" s="172"/>
      <c r="U87" s="130"/>
      <c r="V87" s="4"/>
    </row>
    <row r="88" spans="1:22" s="5" customFormat="1" ht="15.5" customHeight="1" x14ac:dyDescent="0.4">
      <c r="A88" s="35"/>
      <c r="B88" s="19"/>
      <c r="C88" s="106">
        <v>3.2</v>
      </c>
      <c r="D88" s="21" t="s">
        <v>137</v>
      </c>
      <c r="H88" s="6" t="s">
        <v>19</v>
      </c>
      <c r="I88" s="107">
        <v>5</v>
      </c>
      <c r="K88" s="307">
        <f t="shared" si="1"/>
        <v>3.2</v>
      </c>
      <c r="L88" s="44"/>
      <c r="M88" s="4"/>
      <c r="N88" s="215">
        <v>41</v>
      </c>
      <c r="O88" s="240" t="s">
        <v>138</v>
      </c>
      <c r="P88" s="226">
        <v>0</v>
      </c>
      <c r="Q88" s="216" t="s">
        <v>34</v>
      </c>
      <c r="R88" s="227"/>
      <c r="S88" s="39"/>
      <c r="T88" s="172"/>
      <c r="U88" s="130"/>
      <c r="V88" s="4"/>
    </row>
    <row r="89" spans="1:22" s="5" customFormat="1" ht="15.5" customHeight="1" x14ac:dyDescent="0.4">
      <c r="A89" s="35"/>
      <c r="B89" s="19"/>
      <c r="C89" s="106">
        <v>3.3</v>
      </c>
      <c r="D89" s="21" t="s">
        <v>139</v>
      </c>
      <c r="H89" s="6" t="s">
        <v>19</v>
      </c>
      <c r="I89" s="107">
        <v>0</v>
      </c>
      <c r="K89" s="307">
        <f t="shared" si="1"/>
        <v>3.3</v>
      </c>
      <c r="L89" s="44"/>
      <c r="M89" s="4"/>
      <c r="N89" s="215">
        <v>42</v>
      </c>
      <c r="O89" s="240" t="s">
        <v>140</v>
      </c>
      <c r="P89" s="226">
        <v>0</v>
      </c>
      <c r="Q89" s="216" t="s">
        <v>34</v>
      </c>
      <c r="R89" s="227" t="s">
        <v>141</v>
      </c>
      <c r="S89" s="39"/>
      <c r="T89" s="172"/>
      <c r="U89" s="130"/>
      <c r="V89" s="4"/>
    </row>
    <row r="90" spans="1:22" s="5" customFormat="1" ht="18" customHeight="1" x14ac:dyDescent="0.4">
      <c r="A90" s="35"/>
      <c r="B90" s="19"/>
      <c r="C90" s="106">
        <v>3.4</v>
      </c>
      <c r="D90" s="21" t="s">
        <v>142</v>
      </c>
      <c r="H90" s="6" t="s">
        <v>19</v>
      </c>
      <c r="I90" s="107">
        <v>0</v>
      </c>
      <c r="K90" s="307">
        <f t="shared" si="1"/>
        <v>3.4</v>
      </c>
      <c r="L90" s="44"/>
      <c r="M90" s="4"/>
      <c r="N90" s="215">
        <v>43</v>
      </c>
      <c r="O90" s="240" t="s">
        <v>143</v>
      </c>
      <c r="P90" s="226">
        <v>0</v>
      </c>
      <c r="Q90" s="216" t="s">
        <v>34</v>
      </c>
      <c r="R90" s="227"/>
      <c r="S90" s="39"/>
      <c r="T90" s="172"/>
      <c r="U90" s="130"/>
      <c r="V90" s="4"/>
    </row>
    <row r="91" spans="1:22" s="5" customFormat="1" ht="18" customHeight="1" x14ac:dyDescent="0.4">
      <c r="A91" s="35"/>
      <c r="B91" s="19"/>
      <c r="C91" s="106">
        <v>3.5</v>
      </c>
      <c r="D91" s="21" t="s">
        <v>144</v>
      </c>
      <c r="H91" s="6" t="s">
        <v>19</v>
      </c>
      <c r="I91" s="107">
        <v>5</v>
      </c>
      <c r="K91" s="307">
        <f t="shared" si="1"/>
        <v>3.5</v>
      </c>
      <c r="L91" s="44"/>
      <c r="M91" s="4"/>
      <c r="N91" s="215">
        <v>44</v>
      </c>
      <c r="O91" s="240" t="s">
        <v>145</v>
      </c>
      <c r="P91" s="226">
        <v>0</v>
      </c>
      <c r="Q91" s="216" t="s">
        <v>34</v>
      </c>
      <c r="R91" s="227"/>
      <c r="S91" s="39"/>
      <c r="T91" s="172"/>
      <c r="U91" s="130"/>
      <c r="V91" s="4"/>
    </row>
    <row r="92" spans="1:22" s="5" customFormat="1" ht="18" customHeight="1" thickBot="1" x14ac:dyDescent="0.45">
      <c r="A92" s="35"/>
      <c r="B92" s="19"/>
      <c r="C92" s="106">
        <v>3.6</v>
      </c>
      <c r="D92" s="21" t="s">
        <v>146</v>
      </c>
      <c r="H92" s="6" t="s">
        <v>19</v>
      </c>
      <c r="I92" s="107">
        <v>0</v>
      </c>
      <c r="K92" s="307">
        <f t="shared" si="1"/>
        <v>3.6</v>
      </c>
      <c r="L92" s="44"/>
      <c r="M92" s="4"/>
      <c r="N92" s="215">
        <v>45</v>
      </c>
      <c r="O92" s="240" t="s">
        <v>147</v>
      </c>
      <c r="P92" s="226">
        <v>5</v>
      </c>
      <c r="Q92" s="216" t="s">
        <v>34</v>
      </c>
      <c r="R92" s="227"/>
      <c r="S92" s="39"/>
      <c r="T92" s="172"/>
      <c r="U92" s="130"/>
      <c r="V92" s="4"/>
    </row>
    <row r="93" spans="1:22" s="5" customFormat="1" ht="23.5" customHeight="1" x14ac:dyDescent="0.4">
      <c r="A93" s="35"/>
      <c r="B93" s="19"/>
      <c r="C93" s="106">
        <v>3.7</v>
      </c>
      <c r="D93" s="315" t="s">
        <v>148</v>
      </c>
      <c r="H93" s="6" t="s">
        <v>19</v>
      </c>
      <c r="I93" s="107">
        <v>5</v>
      </c>
      <c r="K93" s="307">
        <f t="shared" si="1"/>
        <v>3.7</v>
      </c>
      <c r="L93" s="44"/>
      <c r="M93" s="4"/>
      <c r="N93" s="228">
        <v>46</v>
      </c>
      <c r="O93" s="242" t="s">
        <v>149</v>
      </c>
      <c r="P93" s="230">
        <v>0</v>
      </c>
      <c r="Q93" s="229" t="s">
        <v>34</v>
      </c>
      <c r="R93" s="231"/>
      <c r="S93" s="39"/>
      <c r="T93" s="172"/>
      <c r="U93" s="130"/>
      <c r="V93" s="4"/>
    </row>
    <row r="94" spans="1:22" s="5" customFormat="1" ht="15.5" customHeight="1" thickBot="1" x14ac:dyDescent="0.45">
      <c r="A94" s="35"/>
      <c r="J94" s="4"/>
      <c r="K94" s="136"/>
      <c r="L94" s="2"/>
      <c r="M94" s="4"/>
      <c r="N94" s="215">
        <v>47</v>
      </c>
      <c r="O94" s="240" t="s">
        <v>150</v>
      </c>
      <c r="P94" s="226">
        <v>0</v>
      </c>
      <c r="Q94" s="216" t="s">
        <v>120</v>
      </c>
      <c r="R94" s="227"/>
      <c r="S94" s="39"/>
      <c r="T94" s="173"/>
      <c r="U94" s="130"/>
      <c r="V94" s="4"/>
    </row>
    <row r="95" spans="1:22" s="5" customFormat="1" ht="23.5" customHeight="1" thickBot="1" x14ac:dyDescent="0.45">
      <c r="A95" s="35"/>
      <c r="B95" s="132">
        <v>2</v>
      </c>
      <c r="C95" s="113" t="s">
        <v>151</v>
      </c>
      <c r="G95" s="4"/>
      <c r="H95" s="76" t="s">
        <v>16</v>
      </c>
      <c r="I95" s="316">
        <f>(I97*4+I103*3+I108*60)/67</f>
        <v>2.91044776119403</v>
      </c>
      <c r="K95" s="136"/>
      <c r="L95" s="2"/>
      <c r="N95" s="215">
        <v>48</v>
      </c>
      <c r="O95" s="240" t="s">
        <v>152</v>
      </c>
      <c r="P95" s="226">
        <v>0</v>
      </c>
      <c r="Q95" s="216" t="s">
        <v>120</v>
      </c>
      <c r="R95" s="227"/>
      <c r="S95" s="39"/>
      <c r="T95" s="172"/>
      <c r="U95" s="130"/>
      <c r="V95" s="4"/>
    </row>
    <row r="96" spans="1:22" s="5" customFormat="1" ht="15.5" customHeight="1" thickBot="1" x14ac:dyDescent="0.45">
      <c r="A96" s="35"/>
      <c r="B96" s="132"/>
      <c r="C96" s="24"/>
      <c r="G96" s="4"/>
      <c r="H96" s="26"/>
      <c r="I96" s="317"/>
      <c r="K96" s="136"/>
      <c r="L96" s="2"/>
      <c r="N96" s="215">
        <v>49</v>
      </c>
      <c r="O96" s="240" t="s">
        <v>153</v>
      </c>
      <c r="P96" s="226">
        <v>0</v>
      </c>
      <c r="Q96" s="216" t="s">
        <v>120</v>
      </c>
      <c r="R96" s="227"/>
      <c r="S96" s="39"/>
      <c r="T96" s="172"/>
      <c r="U96" s="130"/>
      <c r="V96" s="4"/>
    </row>
    <row r="97" spans="1:22" s="5" customFormat="1" ht="15.5" customHeight="1" thickBot="1" x14ac:dyDescent="0.45">
      <c r="A97" s="35"/>
      <c r="B97" s="28">
        <v>1</v>
      </c>
      <c r="C97" s="104" t="s">
        <v>154</v>
      </c>
      <c r="H97" s="318" t="s">
        <v>24</v>
      </c>
      <c r="I97" s="128">
        <f>SUM(I98:I101)/4</f>
        <v>2.5</v>
      </c>
      <c r="K97" s="136"/>
      <c r="L97" s="2"/>
      <c r="N97" s="215">
        <v>50</v>
      </c>
      <c r="O97" s="240" t="s">
        <v>155</v>
      </c>
      <c r="P97" s="226">
        <v>0</v>
      </c>
      <c r="Q97" s="216" t="s">
        <v>120</v>
      </c>
      <c r="R97" s="227"/>
      <c r="S97" s="39"/>
      <c r="T97" s="172"/>
      <c r="U97" s="130"/>
      <c r="V97" s="4"/>
    </row>
    <row r="98" spans="1:22" s="5" customFormat="1" ht="15.5" customHeight="1" x14ac:dyDescent="0.4">
      <c r="A98" s="35"/>
      <c r="B98" s="28"/>
      <c r="C98" s="106">
        <v>1.1000000000000001</v>
      </c>
      <c r="D98" s="102" t="s">
        <v>156</v>
      </c>
      <c r="H98" s="6" t="s">
        <v>19</v>
      </c>
      <c r="I98" s="319">
        <v>5</v>
      </c>
      <c r="K98" s="307">
        <f>C98</f>
        <v>1.1000000000000001</v>
      </c>
      <c r="L98" s="44"/>
      <c r="N98" s="215">
        <v>51</v>
      </c>
      <c r="O98" s="240" t="s">
        <v>157</v>
      </c>
      <c r="P98" s="226">
        <v>0</v>
      </c>
      <c r="Q98" s="216" t="s">
        <v>120</v>
      </c>
      <c r="R98" s="227" t="s">
        <v>158</v>
      </c>
      <c r="S98" s="39"/>
      <c r="T98" s="172"/>
      <c r="U98" s="130"/>
      <c r="V98" s="4"/>
    </row>
    <row r="99" spans="1:22" s="5" customFormat="1" ht="15.5" customHeight="1" thickBot="1" x14ac:dyDescent="0.45">
      <c r="A99" s="35"/>
      <c r="B99" s="28"/>
      <c r="C99" s="106">
        <v>1.2</v>
      </c>
      <c r="D99" s="102" t="s">
        <v>159</v>
      </c>
      <c r="H99" s="6" t="s">
        <v>19</v>
      </c>
      <c r="I99" s="84">
        <v>0</v>
      </c>
      <c r="K99" s="307">
        <f>C99</f>
        <v>1.2</v>
      </c>
      <c r="L99" s="44"/>
      <c r="N99" s="215">
        <v>52</v>
      </c>
      <c r="O99" s="240" t="s">
        <v>160</v>
      </c>
      <c r="P99" s="226">
        <v>0</v>
      </c>
      <c r="Q99" s="216" t="s">
        <v>120</v>
      </c>
      <c r="R99" s="227"/>
      <c r="S99" s="39"/>
      <c r="T99" s="172"/>
      <c r="U99" s="130"/>
      <c r="V99" s="4"/>
    </row>
    <row r="100" spans="1:22" s="5" customFormat="1" ht="17" customHeight="1" x14ac:dyDescent="0.4">
      <c r="A100" s="34"/>
      <c r="B100" s="28"/>
      <c r="C100" s="106">
        <v>1.3</v>
      </c>
      <c r="D100" s="102" t="s">
        <v>161</v>
      </c>
      <c r="H100" s="6" t="s">
        <v>19</v>
      </c>
      <c r="I100" s="84">
        <v>0</v>
      </c>
      <c r="K100" s="307">
        <f>C100</f>
        <v>1.3</v>
      </c>
      <c r="L100" s="44"/>
      <c r="N100" s="228">
        <v>53</v>
      </c>
      <c r="O100" s="242" t="s">
        <v>162</v>
      </c>
      <c r="P100" s="230">
        <v>0</v>
      </c>
      <c r="Q100" s="229" t="s">
        <v>120</v>
      </c>
      <c r="R100" s="231"/>
      <c r="S100" s="39"/>
      <c r="T100" s="172"/>
      <c r="U100" s="130"/>
      <c r="V100" s="4"/>
    </row>
    <row r="101" spans="1:22" s="5" customFormat="1" ht="17" customHeight="1" thickBot="1" x14ac:dyDescent="0.45">
      <c r="A101" s="34"/>
      <c r="B101" s="28"/>
      <c r="C101" s="106">
        <v>1.4</v>
      </c>
      <c r="D101" s="102" t="s">
        <v>163</v>
      </c>
      <c r="H101" s="6" t="s">
        <v>19</v>
      </c>
      <c r="I101" s="84">
        <v>5</v>
      </c>
      <c r="J101" s="4"/>
      <c r="K101" s="307">
        <f>C101</f>
        <v>1.4</v>
      </c>
      <c r="L101" s="44"/>
      <c r="M101" s="4"/>
      <c r="N101" s="215">
        <v>54</v>
      </c>
      <c r="O101" s="240" t="s">
        <v>164</v>
      </c>
      <c r="P101" s="226">
        <v>0</v>
      </c>
      <c r="Q101" s="216" t="s">
        <v>39</v>
      </c>
      <c r="R101" s="227"/>
      <c r="S101" s="39"/>
      <c r="T101" s="172"/>
      <c r="U101" s="130"/>
      <c r="V101" s="4"/>
    </row>
    <row r="102" spans="1:22" s="5" customFormat="1" ht="18" customHeight="1" thickBot="1" x14ac:dyDescent="0.45">
      <c r="A102" s="34"/>
      <c r="B102" s="28"/>
      <c r="C102" s="106"/>
      <c r="D102" s="102"/>
      <c r="H102" s="6"/>
      <c r="I102" s="317"/>
      <c r="J102" s="4"/>
      <c r="K102" s="13"/>
      <c r="L102" s="13"/>
      <c r="M102" s="4"/>
      <c r="N102" s="228">
        <v>55</v>
      </c>
      <c r="O102" s="242" t="s">
        <v>39</v>
      </c>
      <c r="P102" s="230">
        <v>0</v>
      </c>
      <c r="Q102" s="229" t="s">
        <v>39</v>
      </c>
      <c r="R102" s="231" t="s">
        <v>165</v>
      </c>
      <c r="S102" s="4"/>
      <c r="T102" s="172"/>
      <c r="U102" s="130"/>
      <c r="V102" s="4"/>
    </row>
    <row r="103" spans="1:22" s="5" customFormat="1" ht="18" customHeight="1" thickBot="1" x14ac:dyDescent="0.45">
      <c r="A103" s="34"/>
      <c r="B103" s="28">
        <v>2</v>
      </c>
      <c r="C103" s="320" t="s">
        <v>166</v>
      </c>
      <c r="D103" s="102"/>
      <c r="F103" s="21"/>
      <c r="G103" s="4"/>
      <c r="H103" s="318" t="s">
        <v>24</v>
      </c>
      <c r="I103" s="128">
        <f>(SUM(I104:I105)+IF(I106=Normalize!G62,5,IF(I106&lt;Normalize!G62,5,IF(I106&gt;Normalize!I62,0,5-((I106-Normalize!G62)/(Normalize!I62-Normalize!G62))*5))))/3</f>
        <v>3.3333333333333335</v>
      </c>
      <c r="J103" s="4"/>
      <c r="K103" s="136"/>
      <c r="L103" s="2"/>
      <c r="M103" s="4"/>
      <c r="N103" s="215">
        <v>56</v>
      </c>
      <c r="O103" s="240" t="s">
        <v>167</v>
      </c>
      <c r="P103" s="226">
        <v>0</v>
      </c>
      <c r="Q103" s="216" t="s">
        <v>41</v>
      </c>
      <c r="R103" s="227"/>
      <c r="S103" s="4"/>
      <c r="T103" s="172"/>
      <c r="U103" s="130"/>
      <c r="V103" s="4"/>
    </row>
    <row r="104" spans="1:22" s="5" customFormat="1" ht="18" customHeight="1" x14ac:dyDescent="0.4">
      <c r="A104" s="34"/>
      <c r="B104" s="28"/>
      <c r="C104" s="106">
        <v>2.1</v>
      </c>
      <c r="D104" s="102" t="s">
        <v>168</v>
      </c>
      <c r="F104" s="21"/>
      <c r="G104" s="4"/>
      <c r="H104" s="6" t="s">
        <v>19</v>
      </c>
      <c r="I104" s="321">
        <v>5</v>
      </c>
      <c r="J104" s="4"/>
      <c r="K104" s="307">
        <f>C104</f>
        <v>2.1</v>
      </c>
      <c r="L104" s="44"/>
      <c r="M104" s="4"/>
      <c r="N104" s="215">
        <v>57</v>
      </c>
      <c r="O104" s="240" t="s">
        <v>169</v>
      </c>
      <c r="P104" s="226">
        <v>0</v>
      </c>
      <c r="Q104" s="216" t="s">
        <v>41</v>
      </c>
      <c r="R104" s="227" t="s">
        <v>170</v>
      </c>
      <c r="S104" s="4"/>
      <c r="T104" s="172"/>
      <c r="U104" s="130"/>
      <c r="V104" s="4"/>
    </row>
    <row r="105" spans="1:22" s="5" customFormat="1" ht="17" customHeight="1" thickBot="1" x14ac:dyDescent="0.45">
      <c r="A105" s="34"/>
      <c r="B105" s="28"/>
      <c r="C105" s="106">
        <v>2.2000000000000002</v>
      </c>
      <c r="D105" s="102" t="s">
        <v>171</v>
      </c>
      <c r="F105" s="21"/>
      <c r="G105" s="4"/>
      <c r="H105" s="6" t="s">
        <v>19</v>
      </c>
      <c r="I105" s="135">
        <v>0</v>
      </c>
      <c r="J105" s="4"/>
      <c r="K105" s="307">
        <f>C105</f>
        <v>2.2000000000000002</v>
      </c>
      <c r="L105" s="44"/>
      <c r="M105" s="4"/>
      <c r="N105" s="215">
        <v>58</v>
      </c>
      <c r="O105" s="240" t="s">
        <v>172</v>
      </c>
      <c r="P105" s="226">
        <v>0</v>
      </c>
      <c r="Q105" s="216" t="s">
        <v>41</v>
      </c>
      <c r="R105" s="227"/>
      <c r="S105" s="4"/>
      <c r="T105" s="172"/>
      <c r="U105" s="130"/>
      <c r="V105" s="4"/>
    </row>
    <row r="106" spans="1:22" s="5" customFormat="1" ht="17" customHeight="1" x14ac:dyDescent="0.4">
      <c r="A106" s="34"/>
      <c r="B106" s="28"/>
      <c r="C106" s="106">
        <v>2.2999999999999998</v>
      </c>
      <c r="D106" s="102" t="s">
        <v>173</v>
      </c>
      <c r="H106" s="6" t="s">
        <v>33</v>
      </c>
      <c r="I106" s="107">
        <v>5</v>
      </c>
      <c r="J106" s="4"/>
      <c r="K106" s="307">
        <f>C106</f>
        <v>2.2999999999999998</v>
      </c>
      <c r="L106" s="44"/>
      <c r="M106" s="4"/>
      <c r="N106" s="228">
        <v>59</v>
      </c>
      <c r="O106" s="242" t="s">
        <v>174</v>
      </c>
      <c r="P106" s="230">
        <v>0</v>
      </c>
      <c r="Q106" s="229" t="s">
        <v>41</v>
      </c>
      <c r="R106" s="231"/>
      <c r="S106" s="4"/>
      <c r="T106" s="172"/>
      <c r="U106" s="130"/>
      <c r="V106" s="4"/>
    </row>
    <row r="107" spans="1:22" s="5" customFormat="1" ht="18.5" customHeight="1" thickBot="1" x14ac:dyDescent="0.45">
      <c r="A107" s="34"/>
      <c r="B107" s="28"/>
      <c r="D107" s="21"/>
      <c r="H107" s="6"/>
      <c r="I107" s="36"/>
      <c r="J107" s="4"/>
      <c r="K107" s="13"/>
      <c r="L107" s="13"/>
      <c r="M107" s="4"/>
      <c r="N107" s="215">
        <v>60</v>
      </c>
      <c r="O107" s="240" t="s">
        <v>175</v>
      </c>
      <c r="P107" s="226">
        <v>0</v>
      </c>
      <c r="Q107" s="216" t="s">
        <v>43</v>
      </c>
      <c r="R107" s="227"/>
      <c r="S107" s="4"/>
      <c r="T107" s="172"/>
      <c r="U107" s="130"/>
      <c r="V107" s="4"/>
    </row>
    <row r="108" spans="1:22" s="5" customFormat="1" ht="18.5" customHeight="1" thickBot="1" x14ac:dyDescent="0.45">
      <c r="B108" s="28">
        <v>3</v>
      </c>
      <c r="C108" s="260" t="s">
        <v>176</v>
      </c>
      <c r="D108" s="322"/>
      <c r="E108" s="251"/>
      <c r="F108" s="251"/>
      <c r="G108" s="248"/>
      <c r="H108" s="252" t="s">
        <v>177</v>
      </c>
      <c r="I108" s="110">
        <f>(I109*10+I120*10+I131*10+I142*10+I153*10+I164*10)/60</f>
        <v>2.9166666666666665</v>
      </c>
      <c r="J108" s="248"/>
      <c r="K108" s="253"/>
      <c r="L108" s="253"/>
      <c r="M108" s="4"/>
      <c r="N108" s="215">
        <v>61</v>
      </c>
      <c r="O108" s="240" t="s">
        <v>178</v>
      </c>
      <c r="P108" s="226">
        <v>0</v>
      </c>
      <c r="Q108" s="216" t="s">
        <v>43</v>
      </c>
      <c r="R108" s="227"/>
      <c r="S108" s="4"/>
      <c r="T108" s="172"/>
      <c r="U108" s="130"/>
      <c r="V108" s="4"/>
    </row>
    <row r="109" spans="1:22" s="5" customFormat="1" ht="15.5" customHeight="1" thickBot="1" x14ac:dyDescent="0.45">
      <c r="B109" s="244"/>
      <c r="C109" s="257" t="s">
        <v>179</v>
      </c>
      <c r="D109" s="323" t="s">
        <v>180</v>
      </c>
      <c r="E109" s="323"/>
      <c r="F109" s="323"/>
      <c r="G109" s="244"/>
      <c r="H109" s="252" t="s">
        <v>24</v>
      </c>
      <c r="I109" s="110">
        <f>SUM(I110:I119)/10</f>
        <v>2.5</v>
      </c>
      <c r="J109" s="244"/>
      <c r="K109" s="254"/>
      <c r="L109" s="255"/>
      <c r="M109" s="4"/>
      <c r="N109" s="215">
        <v>62</v>
      </c>
      <c r="O109" s="240" t="s">
        <v>136</v>
      </c>
      <c r="P109" s="226">
        <v>5</v>
      </c>
      <c r="Q109" s="216" t="s">
        <v>43</v>
      </c>
      <c r="R109" s="227"/>
      <c r="S109" s="4"/>
      <c r="T109" s="172"/>
      <c r="U109" s="130"/>
      <c r="V109" s="4"/>
    </row>
    <row r="110" spans="1:22" s="5" customFormat="1" ht="15.5" customHeight="1" x14ac:dyDescent="0.4">
      <c r="B110" s="244"/>
      <c r="C110" s="244"/>
      <c r="D110" s="256" t="s">
        <v>181</v>
      </c>
      <c r="E110" s="257" t="s">
        <v>23</v>
      </c>
      <c r="F110" s="257"/>
      <c r="G110" s="244"/>
      <c r="H110" s="246" t="s">
        <v>19</v>
      </c>
      <c r="I110" s="258">
        <v>0</v>
      </c>
      <c r="J110" s="244"/>
      <c r="K110" s="324" t="str">
        <f t="shared" ref="K110:K119" si="2">D110</f>
        <v>3.1.1</v>
      </c>
      <c r="L110" s="259"/>
      <c r="M110" s="4"/>
      <c r="N110" s="215">
        <v>63</v>
      </c>
      <c r="O110" s="240" t="s">
        <v>182</v>
      </c>
      <c r="P110" s="226">
        <v>0</v>
      </c>
      <c r="Q110" s="216" t="s">
        <v>43</v>
      </c>
      <c r="R110" s="227"/>
      <c r="S110" s="4"/>
      <c r="T110" s="172"/>
      <c r="U110" s="130"/>
      <c r="V110" s="4"/>
    </row>
    <row r="111" spans="1:22" s="5" customFormat="1" ht="15.5" customHeight="1" x14ac:dyDescent="0.4">
      <c r="B111" s="244"/>
      <c r="C111" s="260"/>
      <c r="D111" s="256" t="s">
        <v>183</v>
      </c>
      <c r="E111" s="257" t="s">
        <v>38</v>
      </c>
      <c r="F111" s="244"/>
      <c r="G111" s="244"/>
      <c r="H111" s="246" t="s">
        <v>19</v>
      </c>
      <c r="I111" s="258">
        <v>5</v>
      </c>
      <c r="J111" s="244"/>
      <c r="K111" s="324" t="str">
        <f t="shared" si="2"/>
        <v>3.1.2</v>
      </c>
      <c r="L111" s="259"/>
      <c r="M111" s="4"/>
      <c r="N111" s="215">
        <v>64</v>
      </c>
      <c r="O111" s="240" t="s">
        <v>184</v>
      </c>
      <c r="P111" s="226">
        <v>5</v>
      </c>
      <c r="Q111" s="216" t="s">
        <v>43</v>
      </c>
      <c r="R111" s="227"/>
      <c r="S111" s="4"/>
      <c r="T111" s="172"/>
      <c r="U111" s="130"/>
      <c r="V111" s="4"/>
    </row>
    <row r="112" spans="1:22" s="5" customFormat="1" ht="15.5" customHeight="1" x14ac:dyDescent="0.4">
      <c r="B112" s="244"/>
      <c r="C112" s="260"/>
      <c r="D112" s="256" t="s">
        <v>185</v>
      </c>
      <c r="E112" s="257" t="s">
        <v>46</v>
      </c>
      <c r="F112" s="244"/>
      <c r="G112" s="244"/>
      <c r="H112" s="246" t="s">
        <v>19</v>
      </c>
      <c r="I112" s="258">
        <v>0</v>
      </c>
      <c r="J112" s="244"/>
      <c r="K112" s="324" t="str">
        <f t="shared" si="2"/>
        <v>3.1.3</v>
      </c>
      <c r="L112" s="259"/>
      <c r="M112" s="4"/>
      <c r="N112" s="215">
        <v>65</v>
      </c>
      <c r="O112" s="240" t="s">
        <v>186</v>
      </c>
      <c r="P112" s="226">
        <v>0</v>
      </c>
      <c r="Q112" s="216" t="s">
        <v>43</v>
      </c>
      <c r="R112" s="227" t="s">
        <v>187</v>
      </c>
      <c r="S112" s="4"/>
      <c r="T112" s="172"/>
      <c r="U112" s="130"/>
      <c r="V112" s="4"/>
    </row>
    <row r="113" spans="2:22" s="5" customFormat="1" ht="18" customHeight="1" x14ac:dyDescent="0.4">
      <c r="B113" s="244"/>
      <c r="C113" s="260"/>
      <c r="D113" s="256" t="s">
        <v>188</v>
      </c>
      <c r="E113" s="257" t="s">
        <v>51</v>
      </c>
      <c r="F113" s="244"/>
      <c r="G113" s="244"/>
      <c r="H113" s="246" t="s">
        <v>19</v>
      </c>
      <c r="I113" s="258">
        <v>5</v>
      </c>
      <c r="J113" s="244"/>
      <c r="K113" s="324" t="str">
        <f t="shared" si="2"/>
        <v>3.1.4</v>
      </c>
      <c r="L113" s="259"/>
      <c r="M113" s="4"/>
      <c r="N113" s="215">
        <v>66</v>
      </c>
      <c r="O113" s="240" t="s">
        <v>189</v>
      </c>
      <c r="P113" s="226">
        <v>0</v>
      </c>
      <c r="Q113" s="216" t="s">
        <v>43</v>
      </c>
      <c r="R113" s="227"/>
      <c r="S113" s="4"/>
      <c r="T113" s="172"/>
      <c r="U113" s="130"/>
      <c r="V113" s="4"/>
    </row>
    <row r="114" spans="2:22" s="5" customFormat="1" ht="17" customHeight="1" x14ac:dyDescent="0.4">
      <c r="B114" s="244"/>
      <c r="C114" s="260"/>
      <c r="D114" s="256" t="s">
        <v>190</v>
      </c>
      <c r="E114" s="257" t="s">
        <v>59</v>
      </c>
      <c r="F114" s="244"/>
      <c r="G114" s="244"/>
      <c r="H114" s="246" t="s">
        <v>19</v>
      </c>
      <c r="I114" s="258">
        <v>0</v>
      </c>
      <c r="J114" s="244"/>
      <c r="K114" s="324" t="str">
        <f t="shared" si="2"/>
        <v>3.1.5</v>
      </c>
      <c r="L114" s="259"/>
      <c r="M114" s="4"/>
      <c r="N114" s="215">
        <v>67</v>
      </c>
      <c r="O114" s="240" t="s">
        <v>191</v>
      </c>
      <c r="P114" s="226">
        <v>0</v>
      </c>
      <c r="Q114" s="216" t="s">
        <v>43</v>
      </c>
      <c r="R114" s="227"/>
      <c r="S114" s="4"/>
      <c r="T114" s="172"/>
      <c r="U114" s="130"/>
      <c r="V114" s="4"/>
    </row>
    <row r="115" spans="2:22" s="5" customFormat="1" ht="17" customHeight="1" x14ac:dyDescent="0.4">
      <c r="B115" s="244"/>
      <c r="C115" s="244"/>
      <c r="D115" s="256" t="s">
        <v>192</v>
      </c>
      <c r="E115" s="257" t="s">
        <v>67</v>
      </c>
      <c r="F115" s="244"/>
      <c r="G115" s="244"/>
      <c r="H115" s="246" t="s">
        <v>19</v>
      </c>
      <c r="I115" s="258">
        <v>5</v>
      </c>
      <c r="J115" s="244"/>
      <c r="K115" s="324" t="str">
        <f t="shared" si="2"/>
        <v>3.1.6</v>
      </c>
      <c r="L115" s="259"/>
      <c r="M115" s="125"/>
      <c r="N115" s="215">
        <v>68</v>
      </c>
      <c r="O115" s="240" t="s">
        <v>193</v>
      </c>
      <c r="P115" s="226">
        <v>0</v>
      </c>
      <c r="Q115" s="216" t="s">
        <v>43</v>
      </c>
      <c r="R115" s="227"/>
      <c r="S115" s="4"/>
      <c r="T115" s="172"/>
      <c r="U115" s="130"/>
      <c r="V115" s="4"/>
    </row>
    <row r="116" spans="2:22" s="5" customFormat="1" ht="17" customHeight="1" x14ac:dyDescent="0.4">
      <c r="B116" s="244"/>
      <c r="C116" s="244"/>
      <c r="D116" s="256" t="s">
        <v>194</v>
      </c>
      <c r="E116" s="257" t="s">
        <v>75</v>
      </c>
      <c r="F116" s="244"/>
      <c r="G116" s="244"/>
      <c r="H116" s="246" t="s">
        <v>19</v>
      </c>
      <c r="I116" s="258">
        <v>0</v>
      </c>
      <c r="J116" s="244"/>
      <c r="K116" s="324" t="str">
        <f t="shared" si="2"/>
        <v>3.1.7</v>
      </c>
      <c r="L116" s="259"/>
      <c r="M116" s="4"/>
      <c r="N116" s="215">
        <v>69</v>
      </c>
      <c r="O116" s="240" t="s">
        <v>195</v>
      </c>
      <c r="P116" s="226">
        <v>0</v>
      </c>
      <c r="Q116" s="216" t="s">
        <v>43</v>
      </c>
      <c r="R116" s="227"/>
      <c r="S116" s="4"/>
      <c r="T116" s="172"/>
      <c r="U116" s="130"/>
      <c r="V116" s="4"/>
    </row>
    <row r="117" spans="2:22" s="5" customFormat="1" ht="18" customHeight="1" thickBot="1" x14ac:dyDescent="0.45">
      <c r="B117" s="244"/>
      <c r="C117" s="244"/>
      <c r="D117" s="256" t="s">
        <v>196</v>
      </c>
      <c r="E117" s="257" t="s">
        <v>83</v>
      </c>
      <c r="F117" s="244"/>
      <c r="G117" s="244"/>
      <c r="H117" s="246" t="s">
        <v>19</v>
      </c>
      <c r="I117" s="258">
        <v>5</v>
      </c>
      <c r="J117" s="244"/>
      <c r="K117" s="324" t="str">
        <f t="shared" si="2"/>
        <v>3.1.8</v>
      </c>
      <c r="L117" s="259"/>
      <c r="M117" s="4"/>
      <c r="N117" s="215">
        <v>70</v>
      </c>
      <c r="O117" s="240" t="s">
        <v>197</v>
      </c>
      <c r="P117" s="226">
        <v>0</v>
      </c>
      <c r="Q117" s="216" t="s">
        <v>43</v>
      </c>
      <c r="R117" s="227"/>
      <c r="S117" s="4"/>
      <c r="T117" s="172"/>
      <c r="U117" s="130"/>
      <c r="V117" s="4"/>
    </row>
    <row r="118" spans="2:22" s="5" customFormat="1" ht="18" customHeight="1" x14ac:dyDescent="0.4">
      <c r="B118" s="244"/>
      <c r="C118" s="244"/>
      <c r="D118" s="256" t="s">
        <v>198</v>
      </c>
      <c r="E118" s="257" t="s">
        <v>91</v>
      </c>
      <c r="F118" s="244"/>
      <c r="G118" s="244"/>
      <c r="H118" s="246" t="s">
        <v>19</v>
      </c>
      <c r="I118" s="258">
        <v>0</v>
      </c>
      <c r="J118" s="244"/>
      <c r="K118" s="324" t="str">
        <f t="shared" si="2"/>
        <v>3.1.9</v>
      </c>
      <c r="L118" s="259"/>
      <c r="M118" s="4"/>
      <c r="N118" s="228">
        <v>71</v>
      </c>
      <c r="O118" s="242" t="s">
        <v>199</v>
      </c>
      <c r="P118" s="230">
        <v>5</v>
      </c>
      <c r="Q118" s="229" t="s">
        <v>43</v>
      </c>
      <c r="R118" s="231"/>
      <c r="S118" s="4"/>
      <c r="T118" s="172"/>
      <c r="U118" s="130"/>
      <c r="V118" s="4"/>
    </row>
    <row r="119" spans="2:22" s="5" customFormat="1" ht="18" customHeight="1" thickBot="1" x14ac:dyDescent="0.45">
      <c r="B119" s="244"/>
      <c r="C119" s="244"/>
      <c r="D119" s="256" t="s">
        <v>200</v>
      </c>
      <c r="E119" s="257" t="s">
        <v>99</v>
      </c>
      <c r="F119" s="257" t="s">
        <v>201</v>
      </c>
      <c r="G119" s="244"/>
      <c r="H119" s="246" t="s">
        <v>19</v>
      </c>
      <c r="I119" s="258">
        <v>5</v>
      </c>
      <c r="J119" s="244"/>
      <c r="K119" s="324" t="str">
        <f t="shared" si="2"/>
        <v>3.1.10</v>
      </c>
      <c r="L119" s="259"/>
      <c r="M119" s="4"/>
      <c r="N119" s="215">
        <v>72</v>
      </c>
      <c r="O119" s="240" t="s">
        <v>202</v>
      </c>
      <c r="P119" s="226">
        <v>0</v>
      </c>
      <c r="Q119" s="216" t="s">
        <v>45</v>
      </c>
      <c r="R119" s="227"/>
      <c r="S119" s="4"/>
      <c r="T119" s="172"/>
      <c r="U119" s="130"/>
      <c r="V119" s="4"/>
    </row>
    <row r="120" spans="2:22" s="5" customFormat="1" ht="18" customHeight="1" thickBot="1" x14ac:dyDescent="0.45">
      <c r="B120" s="244"/>
      <c r="C120" s="261" t="s">
        <v>203</v>
      </c>
      <c r="D120" s="323" t="s">
        <v>204</v>
      </c>
      <c r="E120" s="325"/>
      <c r="F120" s="323"/>
      <c r="G120" s="244"/>
      <c r="H120" s="252" t="s">
        <v>24</v>
      </c>
      <c r="I120" s="110">
        <f>SUM(I121:I130)/10</f>
        <v>2.5</v>
      </c>
      <c r="J120" s="244"/>
      <c r="K120" s="254"/>
      <c r="L120" s="255"/>
      <c r="M120" s="4"/>
      <c r="N120" s="215">
        <v>73</v>
      </c>
      <c r="O120" s="240" t="s">
        <v>205</v>
      </c>
      <c r="P120" s="226">
        <v>0</v>
      </c>
      <c r="Q120" s="216" t="s">
        <v>45</v>
      </c>
      <c r="R120" s="227"/>
      <c r="S120" s="4"/>
      <c r="T120" s="172"/>
      <c r="U120" s="130"/>
      <c r="V120" s="4"/>
    </row>
    <row r="121" spans="2:22" s="5" customFormat="1" ht="18" customHeight="1" x14ac:dyDescent="0.4">
      <c r="B121" s="244"/>
      <c r="C121" s="244"/>
      <c r="D121" s="256" t="s">
        <v>206</v>
      </c>
      <c r="E121" s="257" t="s">
        <v>207</v>
      </c>
      <c r="F121" s="322"/>
      <c r="G121" s="244"/>
      <c r="H121" s="246" t="s">
        <v>19</v>
      </c>
      <c r="I121" s="258">
        <v>0</v>
      </c>
      <c r="J121" s="244"/>
      <c r="K121" s="324" t="str">
        <f t="shared" ref="K121:K130" si="3">D121</f>
        <v>3.2.1</v>
      </c>
      <c r="L121" s="259"/>
      <c r="M121" s="4"/>
      <c r="N121" s="215">
        <v>74</v>
      </c>
      <c r="O121" s="240" t="s">
        <v>208</v>
      </c>
      <c r="P121" s="226">
        <v>0</v>
      </c>
      <c r="Q121" s="216" t="s">
        <v>45</v>
      </c>
      <c r="R121" s="227"/>
      <c r="S121" s="4"/>
      <c r="T121" s="172"/>
      <c r="U121" s="130"/>
      <c r="V121" s="4"/>
    </row>
    <row r="122" spans="2:22" s="5" customFormat="1" ht="18" customHeight="1" x14ac:dyDescent="0.4">
      <c r="B122" s="244"/>
      <c r="C122" s="244"/>
      <c r="D122" s="256" t="s">
        <v>209</v>
      </c>
      <c r="E122" s="257" t="s">
        <v>210</v>
      </c>
      <c r="F122" s="257"/>
      <c r="G122" s="244"/>
      <c r="H122" s="246" t="s">
        <v>19</v>
      </c>
      <c r="I122" s="258">
        <v>5</v>
      </c>
      <c r="J122" s="244"/>
      <c r="K122" s="324" t="str">
        <f t="shared" si="3"/>
        <v>3.2.2</v>
      </c>
      <c r="L122" s="259"/>
      <c r="M122" s="4"/>
      <c r="N122" s="215">
        <v>75</v>
      </c>
      <c r="O122" s="240" t="s">
        <v>211</v>
      </c>
      <c r="P122" s="226">
        <v>0</v>
      </c>
      <c r="Q122" s="216" t="s">
        <v>45</v>
      </c>
      <c r="R122" s="227" t="s">
        <v>212</v>
      </c>
      <c r="S122" s="4"/>
      <c r="T122" s="172"/>
      <c r="U122" s="130"/>
      <c r="V122" s="4"/>
    </row>
    <row r="123" spans="2:22" s="5" customFormat="1" ht="18" customHeight="1" x14ac:dyDescent="0.4">
      <c r="B123" s="244"/>
      <c r="C123" s="244"/>
      <c r="D123" s="256" t="s">
        <v>213</v>
      </c>
      <c r="E123" s="257" t="s">
        <v>214</v>
      </c>
      <c r="F123" s="257"/>
      <c r="G123" s="244"/>
      <c r="H123" s="246" t="s">
        <v>19</v>
      </c>
      <c r="I123" s="258">
        <v>0</v>
      </c>
      <c r="J123" s="244"/>
      <c r="K123" s="324" t="str">
        <f t="shared" si="3"/>
        <v>3.2.3</v>
      </c>
      <c r="L123" s="259"/>
      <c r="M123" s="4"/>
      <c r="N123" s="215">
        <v>76</v>
      </c>
      <c r="O123" s="240" t="s">
        <v>215</v>
      </c>
      <c r="P123" s="226">
        <v>0</v>
      </c>
      <c r="Q123" s="216" t="s">
        <v>45</v>
      </c>
      <c r="R123" s="227"/>
      <c r="S123" s="4"/>
      <c r="T123" s="172"/>
      <c r="U123" s="130"/>
      <c r="V123" s="4"/>
    </row>
    <row r="124" spans="2:22" s="5" customFormat="1" ht="18" customHeight="1" thickBot="1" x14ac:dyDescent="0.45">
      <c r="B124" s="244"/>
      <c r="C124" s="244"/>
      <c r="D124" s="256" t="s">
        <v>216</v>
      </c>
      <c r="E124" s="257" t="s">
        <v>217</v>
      </c>
      <c r="F124" s="257"/>
      <c r="G124" s="244"/>
      <c r="H124" s="246" t="s">
        <v>19</v>
      </c>
      <c r="I124" s="258">
        <v>5</v>
      </c>
      <c r="J124" s="244"/>
      <c r="K124" s="324" t="str">
        <f t="shared" si="3"/>
        <v>3.2.4</v>
      </c>
      <c r="L124" s="259"/>
      <c r="M124" s="4"/>
      <c r="N124" s="215">
        <v>77</v>
      </c>
      <c r="O124" s="240" t="s">
        <v>218</v>
      </c>
      <c r="P124" s="226">
        <v>0</v>
      </c>
      <c r="Q124" s="216" t="s">
        <v>45</v>
      </c>
      <c r="R124" s="227"/>
      <c r="S124" s="4"/>
      <c r="T124" s="172"/>
      <c r="U124" s="130"/>
      <c r="V124" s="4"/>
    </row>
    <row r="125" spans="2:22" s="5" customFormat="1" ht="17" customHeight="1" thickBot="1" x14ac:dyDescent="0.45">
      <c r="B125" s="244"/>
      <c r="C125" s="244"/>
      <c r="D125" s="256" t="s">
        <v>219</v>
      </c>
      <c r="E125" s="257" t="s">
        <v>220</v>
      </c>
      <c r="F125" s="257"/>
      <c r="G125" s="244"/>
      <c r="H125" s="246" t="s">
        <v>19</v>
      </c>
      <c r="I125" s="258">
        <v>0</v>
      </c>
      <c r="J125" s="244"/>
      <c r="K125" s="324" t="str">
        <f t="shared" si="3"/>
        <v>3.2.5</v>
      </c>
      <c r="L125" s="259"/>
      <c r="M125" s="4"/>
      <c r="N125" s="228">
        <v>78</v>
      </c>
      <c r="O125" s="242" t="s">
        <v>221</v>
      </c>
      <c r="P125" s="230">
        <v>0</v>
      </c>
      <c r="Q125" s="229" t="s">
        <v>45</v>
      </c>
      <c r="R125" s="231"/>
      <c r="S125" s="4"/>
      <c r="T125" s="172"/>
      <c r="U125" s="130"/>
      <c r="V125" s="4"/>
    </row>
    <row r="126" spans="2:22" s="5" customFormat="1" ht="17" customHeight="1" thickBot="1" x14ac:dyDescent="0.45">
      <c r="B126" s="244"/>
      <c r="C126" s="244"/>
      <c r="D126" s="256" t="s">
        <v>222</v>
      </c>
      <c r="E126" s="257" t="s">
        <v>223</v>
      </c>
      <c r="F126" s="257"/>
      <c r="G126" s="244"/>
      <c r="H126" s="246" t="s">
        <v>19</v>
      </c>
      <c r="I126" s="258">
        <v>5</v>
      </c>
      <c r="J126" s="244"/>
      <c r="K126" s="324" t="str">
        <f t="shared" si="3"/>
        <v>3.2.6</v>
      </c>
      <c r="L126" s="259"/>
      <c r="M126" s="4"/>
      <c r="N126" s="269">
        <v>79</v>
      </c>
      <c r="O126" s="266" t="s">
        <v>47</v>
      </c>
      <c r="P126" s="267">
        <v>0</v>
      </c>
      <c r="Q126" s="268" t="s">
        <v>47</v>
      </c>
      <c r="R126" s="227" t="s">
        <v>224</v>
      </c>
      <c r="S126" s="4"/>
      <c r="T126" s="172"/>
      <c r="U126" s="130"/>
      <c r="V126" s="4"/>
    </row>
    <row r="127" spans="2:22" s="5" customFormat="1" ht="17" customHeight="1" x14ac:dyDescent="0.35">
      <c r="B127" s="244"/>
      <c r="C127" s="244"/>
      <c r="D127" s="256" t="s">
        <v>225</v>
      </c>
      <c r="E127" s="257" t="s">
        <v>226</v>
      </c>
      <c r="F127" s="257"/>
      <c r="G127" s="244"/>
      <c r="H127" s="246" t="s">
        <v>19</v>
      </c>
      <c r="I127" s="258">
        <v>0</v>
      </c>
      <c r="J127" s="244"/>
      <c r="K127" s="324" t="str">
        <f t="shared" si="3"/>
        <v>3.2.7</v>
      </c>
      <c r="L127" s="259"/>
      <c r="M127" s="4"/>
      <c r="N127" s="264"/>
      <c r="O127" s="270"/>
      <c r="P127" s="271">
        <f>SUM(P48:P126)/5</f>
        <v>7</v>
      </c>
      <c r="Q127" s="272"/>
      <c r="R127" s="265"/>
      <c r="S127" s="4"/>
      <c r="T127" s="172"/>
      <c r="U127" s="130"/>
      <c r="V127" s="4"/>
    </row>
    <row r="128" spans="2:22" s="5" customFormat="1" ht="18" customHeight="1" x14ac:dyDescent="0.35">
      <c r="B128" s="244"/>
      <c r="C128" s="244"/>
      <c r="D128" s="256" t="s">
        <v>227</v>
      </c>
      <c r="E128" s="257" t="s">
        <v>228</v>
      </c>
      <c r="F128" s="257"/>
      <c r="G128" s="244"/>
      <c r="H128" s="246" t="s">
        <v>19</v>
      </c>
      <c r="I128" s="258">
        <v>5</v>
      </c>
      <c r="J128" s="244"/>
      <c r="K128" s="324" t="str">
        <f t="shared" si="3"/>
        <v>3.2.8</v>
      </c>
      <c r="L128" s="259"/>
      <c r="M128" s="4"/>
      <c r="S128" s="4"/>
      <c r="T128" s="172"/>
      <c r="U128" s="130"/>
      <c r="V128" s="4"/>
    </row>
    <row r="129" spans="2:22" s="5" customFormat="1" ht="18" customHeight="1" x14ac:dyDescent="0.35">
      <c r="B129" s="244"/>
      <c r="C129" s="244"/>
      <c r="D129" s="256" t="s">
        <v>229</v>
      </c>
      <c r="E129" s="257" t="s">
        <v>230</v>
      </c>
      <c r="F129" s="257"/>
      <c r="G129" s="244"/>
      <c r="H129" s="246" t="s">
        <v>19</v>
      </c>
      <c r="I129" s="258">
        <v>0</v>
      </c>
      <c r="J129" s="244"/>
      <c r="K129" s="324" t="str">
        <f t="shared" si="3"/>
        <v>3.2.9</v>
      </c>
      <c r="L129" s="259"/>
      <c r="M129" s="4"/>
      <c r="S129" s="4"/>
      <c r="T129" s="172"/>
      <c r="U129" s="130"/>
      <c r="V129" s="4"/>
    </row>
    <row r="130" spans="2:22" s="5" customFormat="1" ht="18" customHeight="1" thickBot="1" x14ac:dyDescent="0.4">
      <c r="B130" s="244"/>
      <c r="C130" s="244"/>
      <c r="D130" s="256" t="s">
        <v>231</v>
      </c>
      <c r="E130" s="257" t="s">
        <v>232</v>
      </c>
      <c r="F130" s="322"/>
      <c r="G130" s="244"/>
      <c r="H130" s="246" t="s">
        <v>19</v>
      </c>
      <c r="I130" s="258">
        <v>5</v>
      </c>
      <c r="J130" s="244"/>
      <c r="K130" s="324" t="str">
        <f t="shared" si="3"/>
        <v>3.2.10</v>
      </c>
      <c r="L130" s="259"/>
      <c r="M130" s="4"/>
      <c r="S130" s="4"/>
      <c r="T130" s="172"/>
      <c r="U130" s="130"/>
      <c r="V130" s="4"/>
    </row>
    <row r="131" spans="2:22" s="5" customFormat="1" ht="17" customHeight="1" thickBot="1" x14ac:dyDescent="0.4">
      <c r="B131" s="244"/>
      <c r="C131" s="261" t="s">
        <v>233</v>
      </c>
      <c r="D131" s="277" t="s">
        <v>234</v>
      </c>
      <c r="E131" s="326"/>
      <c r="F131" s="277"/>
      <c r="G131" s="244"/>
      <c r="H131" s="252" t="s">
        <v>24</v>
      </c>
      <c r="I131" s="110">
        <f>SUM(I132:I141)/10</f>
        <v>3</v>
      </c>
      <c r="J131" s="244"/>
      <c r="K131" s="254"/>
      <c r="L131" s="255"/>
      <c r="M131" s="4"/>
      <c r="S131" s="4"/>
      <c r="T131" s="172"/>
      <c r="U131" s="130"/>
      <c r="V131" s="4"/>
    </row>
    <row r="132" spans="2:22" s="5" customFormat="1" ht="17" customHeight="1" x14ac:dyDescent="0.35">
      <c r="B132" s="244"/>
      <c r="C132" s="244"/>
      <c r="D132" s="256" t="s">
        <v>235</v>
      </c>
      <c r="E132" s="257" t="s">
        <v>236</v>
      </c>
      <c r="F132" s="257"/>
      <c r="G132" s="244"/>
      <c r="H132" s="246" t="s">
        <v>19</v>
      </c>
      <c r="I132" s="258">
        <v>0</v>
      </c>
      <c r="J132" s="244"/>
      <c r="K132" s="324" t="str">
        <f t="shared" ref="K132:K141" si="4">D132</f>
        <v>3.3.1</v>
      </c>
      <c r="L132" s="259"/>
      <c r="M132" s="4"/>
      <c r="S132" s="4"/>
      <c r="T132" s="172"/>
      <c r="U132" s="130"/>
      <c r="V132" s="4"/>
    </row>
    <row r="133" spans="2:22" s="5" customFormat="1" ht="18" customHeight="1" x14ac:dyDescent="0.35">
      <c r="B133" s="244"/>
      <c r="C133" s="244"/>
      <c r="D133" s="256" t="s">
        <v>237</v>
      </c>
      <c r="E133" s="257" t="s">
        <v>238</v>
      </c>
      <c r="F133" s="257"/>
      <c r="G133" s="244"/>
      <c r="H133" s="246" t="s">
        <v>19</v>
      </c>
      <c r="I133" s="258">
        <v>5</v>
      </c>
      <c r="J133" s="244"/>
      <c r="K133" s="324" t="str">
        <f t="shared" si="4"/>
        <v>3.3.2</v>
      </c>
      <c r="L133" s="259"/>
      <c r="M133" s="4"/>
      <c r="S133" s="4"/>
      <c r="T133" s="172"/>
      <c r="U133" s="130"/>
      <c r="V133" s="4"/>
    </row>
    <row r="134" spans="2:22" s="5" customFormat="1" ht="17" customHeight="1" x14ac:dyDescent="0.35">
      <c r="B134" s="244"/>
      <c r="C134" s="244"/>
      <c r="D134" s="256" t="s">
        <v>239</v>
      </c>
      <c r="E134" s="257" t="s">
        <v>240</v>
      </c>
      <c r="F134" s="257"/>
      <c r="G134" s="244"/>
      <c r="H134" s="246" t="s">
        <v>19</v>
      </c>
      <c r="I134" s="258">
        <v>5</v>
      </c>
      <c r="J134" s="244"/>
      <c r="K134" s="324" t="str">
        <f t="shared" si="4"/>
        <v>3.3.3</v>
      </c>
      <c r="L134" s="259"/>
      <c r="M134" s="4"/>
      <c r="S134" s="4"/>
      <c r="T134" s="172"/>
      <c r="U134" s="130"/>
      <c r="V134" s="4"/>
    </row>
    <row r="135" spans="2:22" s="5" customFormat="1" ht="17" customHeight="1" x14ac:dyDescent="0.35">
      <c r="B135" s="244"/>
      <c r="C135" s="244"/>
      <c r="D135" s="256" t="s">
        <v>241</v>
      </c>
      <c r="E135" s="257" t="s">
        <v>242</v>
      </c>
      <c r="F135" s="257"/>
      <c r="G135" s="244"/>
      <c r="H135" s="246" t="s">
        <v>19</v>
      </c>
      <c r="I135" s="258">
        <v>0</v>
      </c>
      <c r="J135" s="244"/>
      <c r="K135" s="324" t="str">
        <f t="shared" si="4"/>
        <v>3.3.4</v>
      </c>
      <c r="L135" s="259"/>
      <c r="M135" s="4"/>
      <c r="S135" s="4"/>
      <c r="T135" s="172"/>
      <c r="U135" s="130"/>
      <c r="V135" s="4"/>
    </row>
    <row r="136" spans="2:22" s="5" customFormat="1" ht="17" customHeight="1" x14ac:dyDescent="0.35">
      <c r="B136" s="244"/>
      <c r="C136" s="244"/>
      <c r="D136" s="256" t="s">
        <v>243</v>
      </c>
      <c r="E136" s="257" t="s">
        <v>244</v>
      </c>
      <c r="F136" s="257"/>
      <c r="G136" s="244"/>
      <c r="H136" s="246" t="s">
        <v>19</v>
      </c>
      <c r="I136" s="258">
        <v>5</v>
      </c>
      <c r="J136" s="244"/>
      <c r="K136" s="324" t="str">
        <f t="shared" si="4"/>
        <v>3.3.5</v>
      </c>
      <c r="L136" s="259"/>
      <c r="M136" s="4"/>
      <c r="S136" s="4"/>
      <c r="T136" s="172"/>
      <c r="U136" s="130"/>
      <c r="V136" s="4"/>
    </row>
    <row r="137" spans="2:22" s="5" customFormat="1" ht="18" customHeight="1" x14ac:dyDescent="0.35">
      <c r="B137" s="244"/>
      <c r="C137" s="244"/>
      <c r="D137" s="256" t="s">
        <v>245</v>
      </c>
      <c r="E137" s="257" t="s">
        <v>246</v>
      </c>
      <c r="F137" s="257"/>
      <c r="G137" s="244"/>
      <c r="H137" s="246" t="s">
        <v>19</v>
      </c>
      <c r="I137" s="258">
        <v>0</v>
      </c>
      <c r="J137" s="244"/>
      <c r="K137" s="324" t="str">
        <f t="shared" si="4"/>
        <v>3.3.6</v>
      </c>
      <c r="L137" s="259"/>
      <c r="M137" s="4"/>
      <c r="S137" s="4"/>
      <c r="T137" s="172"/>
      <c r="U137" s="130"/>
      <c r="V137" s="4"/>
    </row>
    <row r="138" spans="2:22" s="5" customFormat="1" ht="17" customHeight="1" x14ac:dyDescent="0.35">
      <c r="B138" s="244"/>
      <c r="C138" s="244"/>
      <c r="D138" s="256" t="s">
        <v>247</v>
      </c>
      <c r="E138" s="257" t="s">
        <v>248</v>
      </c>
      <c r="F138" s="257"/>
      <c r="G138" s="244"/>
      <c r="H138" s="246" t="s">
        <v>19</v>
      </c>
      <c r="I138" s="258">
        <v>5</v>
      </c>
      <c r="J138" s="244"/>
      <c r="K138" s="324" t="str">
        <f t="shared" si="4"/>
        <v>3.3.7</v>
      </c>
      <c r="L138" s="259"/>
      <c r="M138" s="4"/>
      <c r="S138" s="4"/>
      <c r="T138" s="172"/>
      <c r="U138" s="130"/>
      <c r="V138" s="4"/>
    </row>
    <row r="139" spans="2:22" s="5" customFormat="1" ht="17" customHeight="1" x14ac:dyDescent="0.35">
      <c r="B139" s="244"/>
      <c r="C139" s="244"/>
      <c r="D139" s="256" t="s">
        <v>249</v>
      </c>
      <c r="E139" s="257" t="s">
        <v>250</v>
      </c>
      <c r="F139" s="257"/>
      <c r="G139" s="244"/>
      <c r="H139" s="246" t="s">
        <v>19</v>
      </c>
      <c r="I139" s="258">
        <v>5</v>
      </c>
      <c r="J139" s="244"/>
      <c r="K139" s="324" t="str">
        <f t="shared" si="4"/>
        <v>3.3.8</v>
      </c>
      <c r="L139" s="259"/>
      <c r="M139" s="4"/>
      <c r="S139" s="4"/>
      <c r="T139" s="172"/>
      <c r="U139" s="130"/>
      <c r="V139" s="4"/>
    </row>
    <row r="140" spans="2:22" s="5" customFormat="1" ht="18" customHeight="1" x14ac:dyDescent="0.35">
      <c r="B140" s="244"/>
      <c r="C140" s="244"/>
      <c r="D140" s="256" t="s">
        <v>251</v>
      </c>
      <c r="E140" s="257" t="s">
        <v>252</v>
      </c>
      <c r="F140" s="257"/>
      <c r="G140" s="244"/>
      <c r="H140" s="246" t="s">
        <v>19</v>
      </c>
      <c r="I140" s="258">
        <v>0</v>
      </c>
      <c r="J140" s="244"/>
      <c r="K140" s="324" t="str">
        <f t="shared" si="4"/>
        <v>3.3.9</v>
      </c>
      <c r="L140" s="259"/>
      <c r="M140" s="4"/>
      <c r="S140" s="4"/>
      <c r="T140" s="172"/>
      <c r="U140" s="130"/>
      <c r="V140" s="4"/>
    </row>
    <row r="141" spans="2:22" s="5" customFormat="1" ht="18" customHeight="1" thickBot="1" x14ac:dyDescent="0.4">
      <c r="B141" s="244"/>
      <c r="C141" s="244"/>
      <c r="D141" s="256" t="s">
        <v>253</v>
      </c>
      <c r="E141" s="257" t="s">
        <v>254</v>
      </c>
      <c r="F141" s="257"/>
      <c r="G141" s="244"/>
      <c r="H141" s="246" t="s">
        <v>19</v>
      </c>
      <c r="I141" s="258">
        <v>5</v>
      </c>
      <c r="J141" s="248"/>
      <c r="K141" s="324" t="str">
        <f t="shared" si="4"/>
        <v>3.3.10</v>
      </c>
      <c r="L141" s="259"/>
      <c r="M141" s="4"/>
      <c r="S141" s="4"/>
      <c r="T141" s="172"/>
      <c r="U141" s="130"/>
      <c r="V141" s="4"/>
    </row>
    <row r="142" spans="2:22" s="5" customFormat="1" ht="18" customHeight="1" thickBot="1" x14ac:dyDescent="0.4">
      <c r="B142" s="244"/>
      <c r="C142" s="261" t="s">
        <v>255</v>
      </c>
      <c r="D142" s="277" t="s">
        <v>256</v>
      </c>
      <c r="E142" s="326"/>
      <c r="F142" s="277"/>
      <c r="G142" s="244"/>
      <c r="H142" s="252" t="s">
        <v>24</v>
      </c>
      <c r="I142" s="110">
        <f>SUM(I143:I152)/10</f>
        <v>3</v>
      </c>
      <c r="J142" s="248"/>
      <c r="K142" s="254"/>
      <c r="L142" s="255"/>
      <c r="M142" s="4"/>
      <c r="S142" s="4"/>
      <c r="T142" s="172"/>
      <c r="U142" s="130"/>
      <c r="V142" s="4"/>
    </row>
    <row r="143" spans="2:22" s="5" customFormat="1" ht="18" customHeight="1" x14ac:dyDescent="0.35">
      <c r="B143" s="244"/>
      <c r="C143" s="244"/>
      <c r="D143" s="256" t="s">
        <v>257</v>
      </c>
      <c r="E143" s="257" t="s">
        <v>258</v>
      </c>
      <c r="F143" s="257"/>
      <c r="G143" s="244"/>
      <c r="H143" s="246" t="s">
        <v>19</v>
      </c>
      <c r="I143" s="258">
        <v>5</v>
      </c>
      <c r="J143" s="248"/>
      <c r="K143" s="324" t="str">
        <f t="shared" ref="K143:K152" si="5">D143</f>
        <v>3.4.1</v>
      </c>
      <c r="L143" s="259"/>
      <c r="M143" s="4"/>
      <c r="N143" s="218"/>
      <c r="O143" s="218"/>
      <c r="P143" s="218"/>
      <c r="Q143" s="211"/>
      <c r="R143" s="212"/>
      <c r="S143" s="4"/>
      <c r="T143" s="172"/>
      <c r="U143" s="130"/>
      <c r="V143" s="4"/>
    </row>
    <row r="144" spans="2:22" s="5" customFormat="1" ht="17" customHeight="1" x14ac:dyDescent="0.35">
      <c r="B144" s="244"/>
      <c r="C144" s="244"/>
      <c r="D144" s="256" t="s">
        <v>259</v>
      </c>
      <c r="E144" s="257" t="s">
        <v>260</v>
      </c>
      <c r="F144" s="257"/>
      <c r="G144" s="244"/>
      <c r="H144" s="246" t="s">
        <v>19</v>
      </c>
      <c r="I144" s="258">
        <v>5</v>
      </c>
      <c r="J144" s="248"/>
      <c r="K144" s="324" t="str">
        <f t="shared" si="5"/>
        <v>3.4.2</v>
      </c>
      <c r="L144" s="259"/>
      <c r="M144" s="4"/>
      <c r="N144" s="218"/>
      <c r="O144" s="218"/>
      <c r="P144" s="218"/>
      <c r="Q144" s="211"/>
      <c r="R144" s="212"/>
      <c r="S144" s="4"/>
      <c r="T144" s="172"/>
      <c r="U144" s="130"/>
      <c r="V144" s="4"/>
    </row>
    <row r="145" spans="2:22" s="5" customFormat="1" ht="17" customHeight="1" x14ac:dyDescent="0.35">
      <c r="B145" s="244"/>
      <c r="C145" s="244"/>
      <c r="D145" s="256" t="s">
        <v>261</v>
      </c>
      <c r="E145" s="257" t="s">
        <v>262</v>
      </c>
      <c r="F145" s="257"/>
      <c r="G145" s="244"/>
      <c r="H145" s="246" t="s">
        <v>19</v>
      </c>
      <c r="I145" s="258">
        <v>0</v>
      </c>
      <c r="J145" s="248"/>
      <c r="K145" s="324" t="str">
        <f t="shared" si="5"/>
        <v>3.4.3</v>
      </c>
      <c r="L145" s="259"/>
      <c r="M145" s="4"/>
      <c r="N145" s="218"/>
      <c r="O145" s="218"/>
      <c r="P145" s="218"/>
      <c r="Q145" s="211"/>
      <c r="R145" s="212"/>
      <c r="S145" s="4"/>
      <c r="T145" s="172"/>
      <c r="U145" s="130"/>
      <c r="V145" s="4"/>
    </row>
    <row r="146" spans="2:22" s="5" customFormat="1" ht="18" customHeight="1" x14ac:dyDescent="0.35">
      <c r="B146" s="244"/>
      <c r="C146" s="244"/>
      <c r="D146" s="256" t="s">
        <v>263</v>
      </c>
      <c r="E146" s="257" t="s">
        <v>264</v>
      </c>
      <c r="F146" s="257"/>
      <c r="G146" s="244"/>
      <c r="H146" s="246" t="s">
        <v>19</v>
      </c>
      <c r="I146" s="258">
        <v>5</v>
      </c>
      <c r="J146" s="248"/>
      <c r="K146" s="324" t="str">
        <f t="shared" si="5"/>
        <v>3.4.4</v>
      </c>
      <c r="L146" s="259"/>
      <c r="M146" s="4"/>
      <c r="N146" s="218"/>
      <c r="O146" s="218"/>
      <c r="P146" s="218"/>
      <c r="Q146" s="211"/>
      <c r="R146" s="212"/>
      <c r="S146" s="4"/>
      <c r="T146" s="172"/>
      <c r="U146" s="130"/>
      <c r="V146" s="4"/>
    </row>
    <row r="147" spans="2:22" s="5" customFormat="1" ht="18" customHeight="1" x14ac:dyDescent="0.35">
      <c r="B147" s="244"/>
      <c r="C147" s="244"/>
      <c r="D147" s="256" t="s">
        <v>265</v>
      </c>
      <c r="E147" s="257" t="s">
        <v>266</v>
      </c>
      <c r="F147" s="257"/>
      <c r="G147" s="244"/>
      <c r="H147" s="246" t="s">
        <v>19</v>
      </c>
      <c r="I147" s="258">
        <v>0</v>
      </c>
      <c r="J147" s="244"/>
      <c r="K147" s="324" t="str">
        <f t="shared" si="5"/>
        <v>3.4.5</v>
      </c>
      <c r="L147" s="259"/>
      <c r="M147" s="4"/>
      <c r="N147" s="218"/>
      <c r="O147" s="218"/>
      <c r="P147" s="218"/>
      <c r="Q147" s="211"/>
      <c r="R147" s="212"/>
      <c r="S147" s="4"/>
      <c r="T147" s="172"/>
      <c r="U147" s="130"/>
      <c r="V147" s="4"/>
    </row>
    <row r="148" spans="2:22" s="5" customFormat="1" ht="18" customHeight="1" x14ac:dyDescent="0.35">
      <c r="B148" s="244"/>
      <c r="C148" s="244"/>
      <c r="D148" s="256" t="s">
        <v>267</v>
      </c>
      <c r="E148" s="257" t="s">
        <v>268</v>
      </c>
      <c r="F148" s="257"/>
      <c r="G148" s="244"/>
      <c r="H148" s="246" t="s">
        <v>19</v>
      </c>
      <c r="I148" s="258">
        <v>0</v>
      </c>
      <c r="J148" s="244"/>
      <c r="K148" s="324" t="str">
        <f t="shared" si="5"/>
        <v>3.4.6</v>
      </c>
      <c r="L148" s="259"/>
      <c r="M148" s="4"/>
      <c r="N148" s="218"/>
      <c r="O148" s="218"/>
      <c r="P148" s="218"/>
      <c r="Q148" s="211"/>
      <c r="R148" s="212"/>
      <c r="S148" s="4"/>
      <c r="T148" s="172"/>
      <c r="U148" s="130"/>
      <c r="V148" s="4"/>
    </row>
    <row r="149" spans="2:22" s="5" customFormat="1" ht="17" customHeight="1" x14ac:dyDescent="0.35">
      <c r="B149" s="244"/>
      <c r="C149" s="244"/>
      <c r="D149" s="256" t="s">
        <v>269</v>
      </c>
      <c r="E149" s="257" t="s">
        <v>270</v>
      </c>
      <c r="F149" s="257"/>
      <c r="G149" s="244"/>
      <c r="H149" s="246" t="s">
        <v>19</v>
      </c>
      <c r="I149" s="258">
        <v>5</v>
      </c>
      <c r="J149" s="244"/>
      <c r="K149" s="324" t="str">
        <f t="shared" si="5"/>
        <v>3.4.7</v>
      </c>
      <c r="L149" s="259"/>
      <c r="M149" s="4"/>
      <c r="N149" s="218"/>
      <c r="O149" s="218"/>
      <c r="P149" s="218"/>
      <c r="Q149" s="211"/>
      <c r="R149" s="212"/>
      <c r="S149" s="4"/>
      <c r="T149" s="172"/>
      <c r="U149" s="130"/>
      <c r="V149" s="4"/>
    </row>
    <row r="150" spans="2:22" s="5" customFormat="1" ht="17" customHeight="1" x14ac:dyDescent="0.35">
      <c r="B150" s="244"/>
      <c r="C150" s="244"/>
      <c r="D150" s="256" t="s">
        <v>271</v>
      </c>
      <c r="E150" s="257" t="s">
        <v>272</v>
      </c>
      <c r="F150" s="257"/>
      <c r="G150" s="244"/>
      <c r="H150" s="246" t="s">
        <v>19</v>
      </c>
      <c r="I150" s="258">
        <v>5</v>
      </c>
      <c r="J150" s="244"/>
      <c r="K150" s="324" t="str">
        <f t="shared" si="5"/>
        <v>3.4.8</v>
      </c>
      <c r="L150" s="259"/>
      <c r="M150" s="4"/>
      <c r="N150" s="218"/>
      <c r="O150" s="218"/>
      <c r="P150" s="218"/>
      <c r="Q150" s="211"/>
      <c r="R150" s="212"/>
      <c r="S150" s="4"/>
      <c r="T150" s="172"/>
      <c r="U150" s="130"/>
      <c r="V150" s="4"/>
    </row>
    <row r="151" spans="2:22" s="5" customFormat="1" ht="18" customHeight="1" x14ac:dyDescent="0.35">
      <c r="B151" s="244"/>
      <c r="C151" s="244"/>
      <c r="D151" s="256" t="s">
        <v>273</v>
      </c>
      <c r="E151" s="257" t="s">
        <v>274</v>
      </c>
      <c r="F151" s="257"/>
      <c r="G151" s="244"/>
      <c r="H151" s="246" t="s">
        <v>19</v>
      </c>
      <c r="I151" s="258">
        <v>0</v>
      </c>
      <c r="J151" s="244"/>
      <c r="K151" s="324" t="str">
        <f t="shared" si="5"/>
        <v>3.4.9</v>
      </c>
      <c r="L151" s="259"/>
      <c r="M151" s="4"/>
      <c r="N151" s="218"/>
      <c r="O151" s="218"/>
      <c r="P151" s="218"/>
      <c r="Q151" s="211"/>
      <c r="R151" s="212"/>
      <c r="S151" s="4"/>
      <c r="T151" s="172"/>
      <c r="U151" s="130"/>
      <c r="V151" s="4"/>
    </row>
    <row r="152" spans="2:22" s="5" customFormat="1" ht="18" customHeight="1" thickBot="1" x14ac:dyDescent="0.4">
      <c r="B152" s="244"/>
      <c r="C152" s="244"/>
      <c r="D152" s="256" t="s">
        <v>275</v>
      </c>
      <c r="E152" s="257" t="s">
        <v>276</v>
      </c>
      <c r="F152" s="257"/>
      <c r="G152" s="244"/>
      <c r="H152" s="246" t="s">
        <v>19</v>
      </c>
      <c r="I152" s="258">
        <v>5</v>
      </c>
      <c r="J152" s="248"/>
      <c r="K152" s="324" t="str">
        <f t="shared" si="5"/>
        <v>3.4.10</v>
      </c>
      <c r="L152" s="259"/>
      <c r="M152" s="4"/>
      <c r="N152" s="218"/>
      <c r="O152" s="218"/>
      <c r="P152" s="218"/>
      <c r="Q152" s="211"/>
      <c r="R152" s="212"/>
      <c r="S152" s="4"/>
      <c r="T152" s="172"/>
      <c r="U152" s="130"/>
      <c r="V152" s="4"/>
    </row>
    <row r="153" spans="2:22" s="5" customFormat="1" ht="18" customHeight="1" thickBot="1" x14ac:dyDescent="0.4">
      <c r="B153" s="244"/>
      <c r="C153" s="261" t="s">
        <v>277</v>
      </c>
      <c r="D153" s="277" t="s">
        <v>278</v>
      </c>
      <c r="E153" s="257"/>
      <c r="F153" s="277"/>
      <c r="G153" s="244"/>
      <c r="H153" s="252" t="s">
        <v>24</v>
      </c>
      <c r="I153" s="110">
        <f>SUM(I154:I163)/10</f>
        <v>3</v>
      </c>
      <c r="J153" s="248"/>
      <c r="K153" s="254"/>
      <c r="L153" s="255"/>
      <c r="M153" s="4"/>
      <c r="N153" s="218"/>
      <c r="O153" s="218"/>
      <c r="P153" s="218"/>
      <c r="Q153" s="211"/>
      <c r="R153" s="212"/>
      <c r="S153" s="4"/>
      <c r="T153" s="172"/>
      <c r="U153" s="130"/>
      <c r="V153" s="4"/>
    </row>
    <row r="154" spans="2:22" s="5" customFormat="1" ht="17" customHeight="1" x14ac:dyDescent="0.35">
      <c r="B154" s="244"/>
      <c r="C154" s="244"/>
      <c r="D154" s="256" t="s">
        <v>279</v>
      </c>
      <c r="E154" s="257" t="s">
        <v>280</v>
      </c>
      <c r="F154" s="257"/>
      <c r="G154" s="244"/>
      <c r="H154" s="246" t="s">
        <v>19</v>
      </c>
      <c r="I154" s="258">
        <v>5</v>
      </c>
      <c r="J154" s="248"/>
      <c r="K154" s="324" t="str">
        <f t="shared" ref="K154:K163" si="6">D154</f>
        <v>3.5.1</v>
      </c>
      <c r="L154" s="259"/>
      <c r="M154" s="4"/>
      <c r="N154" s="218"/>
      <c r="O154" s="218"/>
      <c r="P154" s="218"/>
      <c r="Q154" s="211"/>
      <c r="R154" s="212"/>
      <c r="S154" s="4"/>
      <c r="T154" s="172"/>
      <c r="U154" s="130"/>
      <c r="V154" s="4"/>
    </row>
    <row r="155" spans="2:22" s="5" customFormat="1" ht="23.5" customHeight="1" x14ac:dyDescent="0.35">
      <c r="B155" s="244"/>
      <c r="C155" s="244"/>
      <c r="D155" s="256" t="s">
        <v>281</v>
      </c>
      <c r="E155" s="257" t="s">
        <v>282</v>
      </c>
      <c r="F155" s="257"/>
      <c r="G155" s="244"/>
      <c r="H155" s="246" t="s">
        <v>19</v>
      </c>
      <c r="I155" s="258">
        <v>5</v>
      </c>
      <c r="J155" s="248"/>
      <c r="K155" s="324" t="str">
        <f t="shared" si="6"/>
        <v>3.5.2</v>
      </c>
      <c r="L155" s="259"/>
      <c r="M155" s="4"/>
      <c r="N155" s="218"/>
      <c r="O155" s="218"/>
      <c r="P155" s="218"/>
      <c r="Q155" s="211"/>
      <c r="R155" s="212"/>
      <c r="S155" s="4"/>
      <c r="T155" s="172"/>
      <c r="U155" s="130"/>
      <c r="V155" s="4"/>
    </row>
    <row r="156" spans="2:22" s="5" customFormat="1" ht="18" customHeight="1" x14ac:dyDescent="0.35">
      <c r="B156" s="244"/>
      <c r="C156" s="244"/>
      <c r="D156" s="256" t="s">
        <v>283</v>
      </c>
      <c r="E156" s="257" t="s">
        <v>284</v>
      </c>
      <c r="F156" s="257"/>
      <c r="G156" s="244"/>
      <c r="H156" s="246" t="s">
        <v>19</v>
      </c>
      <c r="I156" s="258">
        <v>0</v>
      </c>
      <c r="J156" s="248"/>
      <c r="K156" s="324" t="str">
        <f t="shared" si="6"/>
        <v>3.5.3</v>
      </c>
      <c r="L156" s="259"/>
      <c r="M156" s="4"/>
      <c r="N156" s="218"/>
      <c r="O156" s="218"/>
      <c r="P156" s="218"/>
      <c r="Q156" s="211"/>
      <c r="R156" s="212"/>
      <c r="S156" s="4"/>
      <c r="T156" s="173"/>
      <c r="U156" s="130"/>
      <c r="V156" s="4"/>
    </row>
    <row r="157" spans="2:22" s="244" customFormat="1" ht="18" customHeight="1" x14ac:dyDescent="0.35">
      <c r="D157" s="256" t="s">
        <v>285</v>
      </c>
      <c r="E157" s="257" t="s">
        <v>286</v>
      </c>
      <c r="F157" s="257"/>
      <c r="G157" s="262"/>
      <c r="H157" s="246" t="s">
        <v>19</v>
      </c>
      <c r="I157" s="258">
        <v>5</v>
      </c>
      <c r="J157" s="248"/>
      <c r="K157" s="324" t="str">
        <f t="shared" si="6"/>
        <v>3.5.4</v>
      </c>
      <c r="L157" s="259"/>
      <c r="M157" s="248"/>
      <c r="N157" s="218"/>
      <c r="O157" s="218"/>
      <c r="P157" s="218"/>
      <c r="Q157" s="211"/>
      <c r="R157" s="212"/>
      <c r="S157" s="248"/>
      <c r="T157" s="249"/>
      <c r="U157" s="250"/>
      <c r="V157" s="248"/>
    </row>
    <row r="158" spans="2:22" s="244" customFormat="1" ht="18" customHeight="1" x14ac:dyDescent="0.35">
      <c r="B158" s="263"/>
      <c r="D158" s="256" t="s">
        <v>287</v>
      </c>
      <c r="E158" s="257" t="s">
        <v>288</v>
      </c>
      <c r="F158" s="257"/>
      <c r="H158" s="246" t="s">
        <v>19</v>
      </c>
      <c r="I158" s="258">
        <v>0</v>
      </c>
      <c r="K158" s="324" t="str">
        <f t="shared" si="6"/>
        <v>3.5.5</v>
      </c>
      <c r="L158" s="259"/>
      <c r="M158" s="248"/>
      <c r="N158" s="218"/>
      <c r="O158" s="218"/>
      <c r="P158" s="218"/>
      <c r="Q158" s="211"/>
      <c r="R158" s="212"/>
      <c r="S158" s="248"/>
      <c r="T158" s="249"/>
      <c r="U158" s="250"/>
      <c r="V158" s="248"/>
    </row>
    <row r="159" spans="2:22" s="244" customFormat="1" ht="18" customHeight="1" x14ac:dyDescent="0.35">
      <c r="B159" s="263"/>
      <c r="D159" s="256" t="s">
        <v>289</v>
      </c>
      <c r="E159" s="257" t="s">
        <v>290</v>
      </c>
      <c r="F159" s="257"/>
      <c r="H159" s="246" t="s">
        <v>19</v>
      </c>
      <c r="I159" s="258">
        <v>0</v>
      </c>
      <c r="K159" s="324" t="str">
        <f t="shared" si="6"/>
        <v>3.5.6</v>
      </c>
      <c r="L159" s="259"/>
      <c r="M159" s="248"/>
      <c r="N159" s="218"/>
      <c r="O159" s="218"/>
      <c r="P159" s="218"/>
      <c r="Q159" s="211"/>
      <c r="R159" s="212"/>
      <c r="S159" s="248"/>
      <c r="T159" s="249"/>
      <c r="U159" s="250"/>
      <c r="V159" s="248"/>
    </row>
    <row r="160" spans="2:22" s="244" customFormat="1" ht="18" customHeight="1" x14ac:dyDescent="0.35">
      <c r="B160" s="263"/>
      <c r="D160" s="256" t="s">
        <v>291</v>
      </c>
      <c r="E160" s="257" t="s">
        <v>292</v>
      </c>
      <c r="F160" s="257"/>
      <c r="H160" s="246" t="s">
        <v>19</v>
      </c>
      <c r="I160" s="258">
        <v>5</v>
      </c>
      <c r="K160" s="324" t="str">
        <f t="shared" si="6"/>
        <v>3.5.7</v>
      </c>
      <c r="L160" s="259"/>
      <c r="M160" s="248"/>
      <c r="N160" s="218"/>
      <c r="O160" s="218"/>
      <c r="P160" s="218"/>
      <c r="Q160" s="211"/>
      <c r="R160" s="212"/>
      <c r="S160" s="248"/>
      <c r="T160" s="249"/>
      <c r="U160" s="250"/>
      <c r="V160" s="248"/>
    </row>
    <row r="161" spans="1:22" s="244" customFormat="1" ht="18" customHeight="1" x14ac:dyDescent="0.35">
      <c r="B161" s="263"/>
      <c r="D161" s="256" t="s">
        <v>293</v>
      </c>
      <c r="E161" s="257" t="s">
        <v>294</v>
      </c>
      <c r="F161" s="257"/>
      <c r="H161" s="246" t="s">
        <v>19</v>
      </c>
      <c r="I161" s="258">
        <v>5</v>
      </c>
      <c r="K161" s="324" t="str">
        <f t="shared" si="6"/>
        <v>3.5.8</v>
      </c>
      <c r="L161" s="259"/>
      <c r="M161" s="248"/>
      <c r="N161" s="218"/>
      <c r="O161" s="218"/>
      <c r="P161" s="218"/>
      <c r="Q161" s="211"/>
      <c r="R161" s="212"/>
      <c r="S161" s="248"/>
      <c r="T161" s="249"/>
      <c r="U161" s="250"/>
      <c r="V161" s="248"/>
    </row>
    <row r="162" spans="1:22" s="244" customFormat="1" ht="18" customHeight="1" x14ac:dyDescent="0.35">
      <c r="B162" s="263"/>
      <c r="D162" s="256" t="s">
        <v>295</v>
      </c>
      <c r="E162" s="257" t="s">
        <v>296</v>
      </c>
      <c r="F162" s="257"/>
      <c r="H162" s="246" t="s">
        <v>19</v>
      </c>
      <c r="I162" s="258">
        <v>0</v>
      </c>
      <c r="K162" s="324" t="str">
        <f t="shared" si="6"/>
        <v>3.5.9</v>
      </c>
      <c r="L162" s="259"/>
      <c r="M162" s="248"/>
      <c r="N162" s="218"/>
      <c r="O162" s="218"/>
      <c r="P162" s="218"/>
      <c r="Q162" s="211"/>
      <c r="R162" s="212"/>
      <c r="S162" s="248"/>
      <c r="T162" s="249"/>
      <c r="U162" s="250"/>
      <c r="V162" s="248"/>
    </row>
    <row r="163" spans="1:22" s="244" customFormat="1" ht="18" customHeight="1" thickBot="1" x14ac:dyDescent="0.4">
      <c r="B163" s="263"/>
      <c r="D163" s="256" t="s">
        <v>297</v>
      </c>
      <c r="E163" s="257" t="s">
        <v>298</v>
      </c>
      <c r="F163" s="257"/>
      <c r="H163" s="246" t="s">
        <v>19</v>
      </c>
      <c r="I163" s="258">
        <v>5</v>
      </c>
      <c r="J163" s="248"/>
      <c r="K163" s="324" t="str">
        <f t="shared" si="6"/>
        <v>3.5.10</v>
      </c>
      <c r="L163" s="259"/>
      <c r="M163" s="248"/>
      <c r="N163" s="218"/>
      <c r="O163" s="218"/>
      <c r="P163" s="218"/>
      <c r="Q163" s="211"/>
      <c r="R163" s="212"/>
      <c r="S163" s="248"/>
      <c r="T163" s="249"/>
      <c r="U163" s="250"/>
      <c r="V163" s="248"/>
    </row>
    <row r="164" spans="1:22" s="244" customFormat="1" ht="18" customHeight="1" thickBot="1" x14ac:dyDescent="0.4">
      <c r="C164" s="261" t="s">
        <v>299</v>
      </c>
      <c r="D164" s="277" t="s">
        <v>300</v>
      </c>
      <c r="E164" s="257"/>
      <c r="F164" s="277"/>
      <c r="H164" s="252" t="s">
        <v>24</v>
      </c>
      <c r="I164" s="110">
        <f>SUM(I165:I174)/10</f>
        <v>3.5</v>
      </c>
      <c r="J164" s="248"/>
      <c r="K164" s="254"/>
      <c r="L164" s="255"/>
      <c r="M164" s="248"/>
      <c r="N164" s="218"/>
      <c r="O164" s="218"/>
      <c r="P164" s="218"/>
      <c r="Q164" s="211"/>
      <c r="R164" s="212"/>
      <c r="S164" s="248"/>
      <c r="T164" s="249"/>
      <c r="U164" s="250"/>
      <c r="V164" s="248"/>
    </row>
    <row r="165" spans="1:22" s="244" customFormat="1" ht="18" customHeight="1" x14ac:dyDescent="0.35">
      <c r="D165" s="256" t="s">
        <v>301</v>
      </c>
      <c r="E165" s="257" t="s">
        <v>302</v>
      </c>
      <c r="F165" s="257"/>
      <c r="H165" s="246" t="s">
        <v>19</v>
      </c>
      <c r="I165" s="258">
        <v>5</v>
      </c>
      <c r="J165" s="248"/>
      <c r="K165" s="324" t="str">
        <f t="shared" ref="K165:K174" si="7">D165</f>
        <v>3.6.1</v>
      </c>
      <c r="L165" s="259"/>
      <c r="M165" s="248"/>
      <c r="N165" s="218"/>
      <c r="O165" s="218"/>
      <c r="P165" s="218"/>
      <c r="Q165" s="211"/>
      <c r="R165" s="212"/>
      <c r="S165" s="248"/>
      <c r="T165" s="249"/>
      <c r="U165" s="250"/>
      <c r="V165" s="248"/>
    </row>
    <row r="166" spans="1:22" s="244" customFormat="1" ht="18" customHeight="1" x14ac:dyDescent="0.35">
      <c r="D166" s="256" t="s">
        <v>303</v>
      </c>
      <c r="E166" s="257" t="s">
        <v>304</v>
      </c>
      <c r="F166" s="257"/>
      <c r="H166" s="246" t="s">
        <v>19</v>
      </c>
      <c r="I166" s="258">
        <v>5</v>
      </c>
      <c r="J166" s="248"/>
      <c r="K166" s="324" t="str">
        <f t="shared" si="7"/>
        <v>3.6.2</v>
      </c>
      <c r="L166" s="259"/>
      <c r="M166" s="248"/>
      <c r="N166" s="218"/>
      <c r="O166" s="218"/>
      <c r="P166" s="218"/>
      <c r="Q166" s="211"/>
      <c r="R166" s="212"/>
      <c r="S166" s="248"/>
      <c r="T166" s="249"/>
      <c r="U166" s="250"/>
      <c r="V166" s="248"/>
    </row>
    <row r="167" spans="1:22" s="244" customFormat="1" ht="18" customHeight="1" x14ac:dyDescent="0.35">
      <c r="D167" s="256" t="s">
        <v>305</v>
      </c>
      <c r="E167" s="257" t="s">
        <v>306</v>
      </c>
      <c r="F167" s="257"/>
      <c r="H167" s="246" t="s">
        <v>19</v>
      </c>
      <c r="I167" s="258">
        <v>0</v>
      </c>
      <c r="J167" s="248"/>
      <c r="K167" s="324" t="str">
        <f t="shared" si="7"/>
        <v>3.6.3</v>
      </c>
      <c r="L167" s="259"/>
      <c r="M167" s="248"/>
      <c r="N167" s="218"/>
      <c r="O167" s="218"/>
      <c r="P167" s="218"/>
      <c r="Q167" s="211"/>
      <c r="R167" s="212"/>
      <c r="S167" s="248"/>
      <c r="T167" s="249"/>
      <c r="U167" s="250"/>
      <c r="V167" s="248"/>
    </row>
    <row r="168" spans="1:22" s="244" customFormat="1" ht="18" customHeight="1" x14ac:dyDescent="0.35">
      <c r="D168" s="256" t="s">
        <v>307</v>
      </c>
      <c r="E168" s="257" t="s">
        <v>308</v>
      </c>
      <c r="F168" s="257"/>
      <c r="H168" s="246" t="s">
        <v>19</v>
      </c>
      <c r="I168" s="258">
        <v>5</v>
      </c>
      <c r="J168" s="248"/>
      <c r="K168" s="324" t="str">
        <f t="shared" si="7"/>
        <v>3.6.4</v>
      </c>
      <c r="L168" s="259"/>
      <c r="M168" s="248"/>
      <c r="N168" s="218"/>
      <c r="O168" s="218"/>
      <c r="P168" s="218"/>
      <c r="Q168" s="211"/>
      <c r="R168" s="212"/>
      <c r="S168" s="248"/>
      <c r="T168" s="249"/>
      <c r="U168" s="250"/>
      <c r="V168" s="248"/>
    </row>
    <row r="169" spans="1:22" s="244" customFormat="1" ht="18" customHeight="1" x14ac:dyDescent="0.35">
      <c r="D169" s="256" t="s">
        <v>309</v>
      </c>
      <c r="E169" s="257" t="s">
        <v>310</v>
      </c>
      <c r="F169" s="257"/>
      <c r="H169" s="246" t="s">
        <v>19</v>
      </c>
      <c r="I169" s="258">
        <v>5</v>
      </c>
      <c r="K169" s="324" t="str">
        <f t="shared" si="7"/>
        <v>3.6.5</v>
      </c>
      <c r="L169" s="259"/>
      <c r="M169" s="248"/>
      <c r="N169" s="218"/>
      <c r="O169" s="218"/>
      <c r="P169" s="218"/>
      <c r="Q169" s="211"/>
      <c r="R169" s="212"/>
      <c r="S169" s="248"/>
      <c r="T169" s="249"/>
      <c r="U169" s="250"/>
      <c r="V169" s="248"/>
    </row>
    <row r="170" spans="1:22" s="244" customFormat="1" ht="18" customHeight="1" x14ac:dyDescent="0.35">
      <c r="D170" s="256" t="s">
        <v>311</v>
      </c>
      <c r="E170" s="257" t="s">
        <v>312</v>
      </c>
      <c r="F170" s="257"/>
      <c r="H170" s="246" t="s">
        <v>19</v>
      </c>
      <c r="I170" s="258">
        <v>0</v>
      </c>
      <c r="K170" s="324" t="str">
        <f t="shared" si="7"/>
        <v>3.6.6</v>
      </c>
      <c r="L170" s="259"/>
      <c r="M170" s="248"/>
      <c r="N170" s="218"/>
      <c r="O170" s="218"/>
      <c r="P170" s="218"/>
      <c r="Q170" s="211"/>
      <c r="R170" s="212"/>
      <c r="S170" s="248"/>
      <c r="T170" s="249"/>
      <c r="U170" s="250"/>
      <c r="V170" s="248"/>
    </row>
    <row r="171" spans="1:22" s="244" customFormat="1" ht="18" customHeight="1" x14ac:dyDescent="0.35">
      <c r="D171" s="256" t="s">
        <v>313</v>
      </c>
      <c r="E171" s="257" t="s">
        <v>314</v>
      </c>
      <c r="F171" s="257"/>
      <c r="H171" s="246" t="s">
        <v>19</v>
      </c>
      <c r="I171" s="258">
        <v>5</v>
      </c>
      <c r="K171" s="324" t="str">
        <f t="shared" si="7"/>
        <v>3.6.7</v>
      </c>
      <c r="L171" s="259"/>
      <c r="M171" s="248"/>
      <c r="N171" s="218"/>
      <c r="O171" s="218"/>
      <c r="P171" s="218"/>
      <c r="Q171" s="211"/>
      <c r="R171" s="212"/>
      <c r="S171" s="248"/>
      <c r="T171" s="249"/>
      <c r="U171" s="250"/>
      <c r="V171" s="248"/>
    </row>
    <row r="172" spans="1:22" s="244" customFormat="1" ht="18" customHeight="1" x14ac:dyDescent="0.35">
      <c r="D172" s="256" t="s">
        <v>315</v>
      </c>
      <c r="E172" s="257" t="s">
        <v>316</v>
      </c>
      <c r="F172" s="257"/>
      <c r="H172" s="246" t="s">
        <v>19</v>
      </c>
      <c r="I172" s="258">
        <v>5</v>
      </c>
      <c r="K172" s="324" t="str">
        <f t="shared" si="7"/>
        <v>3.6.8</v>
      </c>
      <c r="L172" s="259"/>
      <c r="M172" s="248"/>
      <c r="N172" s="218"/>
      <c r="O172" s="218"/>
      <c r="P172" s="218"/>
      <c r="Q172" s="211"/>
      <c r="R172" s="212"/>
      <c r="S172" s="248"/>
      <c r="T172" s="249"/>
      <c r="U172" s="250"/>
      <c r="V172" s="248"/>
    </row>
    <row r="173" spans="1:22" s="244" customFormat="1" ht="18" customHeight="1" x14ac:dyDescent="0.35">
      <c r="D173" s="256" t="s">
        <v>317</v>
      </c>
      <c r="E173" s="257" t="s">
        <v>318</v>
      </c>
      <c r="F173" s="257"/>
      <c r="H173" s="246" t="s">
        <v>19</v>
      </c>
      <c r="I173" s="258">
        <v>0</v>
      </c>
      <c r="K173" s="324" t="str">
        <f t="shared" si="7"/>
        <v>3.6.9</v>
      </c>
      <c r="L173" s="259"/>
      <c r="M173" s="248"/>
      <c r="N173" s="218"/>
      <c r="O173" s="218"/>
      <c r="P173" s="218"/>
      <c r="Q173" s="211"/>
      <c r="R173" s="212"/>
      <c r="S173" s="248"/>
      <c r="T173" s="249"/>
      <c r="U173" s="250"/>
      <c r="V173" s="248"/>
    </row>
    <row r="174" spans="1:22" s="244" customFormat="1" ht="18" customHeight="1" x14ac:dyDescent="0.35">
      <c r="D174" s="256" t="s">
        <v>319</v>
      </c>
      <c r="E174" s="257" t="s">
        <v>320</v>
      </c>
      <c r="F174" s="257"/>
      <c r="H174" s="246" t="s">
        <v>19</v>
      </c>
      <c r="I174" s="258">
        <v>5</v>
      </c>
      <c r="J174" s="248"/>
      <c r="K174" s="324" t="str">
        <f t="shared" si="7"/>
        <v>3.6.10</v>
      </c>
      <c r="L174" s="259"/>
      <c r="M174" s="248"/>
      <c r="N174" s="218"/>
      <c r="O174" s="218"/>
      <c r="P174" s="218"/>
      <c r="Q174" s="211"/>
      <c r="R174" s="212"/>
      <c r="S174" s="248"/>
      <c r="T174" s="249"/>
      <c r="U174" s="250"/>
      <c r="V174" s="248"/>
    </row>
    <row r="175" spans="1:22" s="244" customFormat="1" ht="18" customHeight="1" thickBot="1" x14ac:dyDescent="0.4">
      <c r="A175" s="34"/>
      <c r="B175" s="243"/>
      <c r="E175" s="245"/>
      <c r="H175" s="246"/>
      <c r="I175" s="247"/>
      <c r="J175" s="248"/>
      <c r="M175" s="248"/>
      <c r="N175" s="218"/>
      <c r="O175" s="218"/>
      <c r="P175" s="218"/>
      <c r="Q175" s="211"/>
      <c r="R175" s="212"/>
      <c r="S175" s="248"/>
      <c r="T175" s="249"/>
      <c r="U175" s="250"/>
      <c r="V175" s="248"/>
    </row>
    <row r="176" spans="1:22" s="5" customFormat="1" ht="23.5" customHeight="1" thickBot="1" x14ac:dyDescent="0.4">
      <c r="A176" s="34"/>
      <c r="B176" s="132">
        <v>3</v>
      </c>
      <c r="C176" s="113" t="s">
        <v>321</v>
      </c>
      <c r="G176" s="4"/>
      <c r="H176" s="76" t="s">
        <v>322</v>
      </c>
      <c r="I176" s="354">
        <f ca="1">(I177+I178+IF(I179=1948,5,IF(I179&lt;1948,5,IF(I179&gt;YEAR(TODAY()),0,5-((I179-1948)/(YEAR(TODAY())-1948))*5))))/4</f>
        <v>2.019278606965174</v>
      </c>
      <c r="J176" s="157"/>
      <c r="K176" s="13"/>
      <c r="L176" s="13"/>
      <c r="M176" s="4"/>
      <c r="N176" s="218"/>
      <c r="O176" s="218"/>
      <c r="P176" s="218"/>
      <c r="Q176" s="211"/>
      <c r="R176" s="212"/>
      <c r="S176" s="4"/>
      <c r="T176" s="172"/>
      <c r="U176" s="130"/>
      <c r="V176" s="4"/>
    </row>
    <row r="177" spans="1:22" s="5" customFormat="1" ht="18" customHeight="1" x14ac:dyDescent="0.35">
      <c r="A177" s="34"/>
      <c r="B177" s="28">
        <v>1</v>
      </c>
      <c r="C177" s="102" t="s">
        <v>323</v>
      </c>
      <c r="E177" s="327"/>
      <c r="F177" s="327"/>
      <c r="G177" s="26"/>
      <c r="H177" s="160" t="s">
        <v>324</v>
      </c>
      <c r="I177" s="273">
        <f>I164</f>
        <v>3.5</v>
      </c>
      <c r="J177" s="159"/>
      <c r="K177" s="13"/>
      <c r="L177" s="13"/>
      <c r="M177" s="4"/>
      <c r="N177" s="218"/>
      <c r="O177" s="218"/>
      <c r="P177" s="218"/>
      <c r="Q177" s="211"/>
      <c r="R177" s="212"/>
      <c r="S177" s="4"/>
      <c r="T177" s="172"/>
      <c r="U177" s="130"/>
      <c r="V177" s="4"/>
    </row>
    <row r="178" spans="1:22" s="5" customFormat="1" ht="17" customHeight="1" x14ac:dyDescent="0.35">
      <c r="A178" s="34"/>
      <c r="B178" s="28">
        <v>2</v>
      </c>
      <c r="C178" s="102" t="s">
        <v>325</v>
      </c>
      <c r="E178" s="327"/>
      <c r="F178" s="327"/>
      <c r="G178" s="26"/>
      <c r="H178" s="160" t="s">
        <v>324</v>
      </c>
      <c r="I178" s="122">
        <f>I95</f>
        <v>2.91044776119403</v>
      </c>
      <c r="J178" s="158"/>
      <c r="K178" s="13"/>
      <c r="L178" s="13"/>
      <c r="M178" s="4"/>
      <c r="N178" s="218"/>
      <c r="O178" s="218"/>
      <c r="P178" s="218"/>
      <c r="Q178" s="211"/>
      <c r="R178" s="212"/>
      <c r="S178" s="4"/>
      <c r="T178" s="172"/>
      <c r="U178" s="130"/>
      <c r="V178" s="4"/>
    </row>
    <row r="179" spans="1:22" s="5" customFormat="1" ht="18" customHeight="1" x14ac:dyDescent="0.35">
      <c r="A179" s="34"/>
      <c r="B179" s="28">
        <v>3</v>
      </c>
      <c r="C179" s="102" t="s">
        <v>326</v>
      </c>
      <c r="E179" s="327"/>
      <c r="F179" s="327"/>
      <c r="G179" s="26"/>
      <c r="H179" s="6" t="s">
        <v>33</v>
      </c>
      <c r="I179" s="107">
        <v>2000</v>
      </c>
      <c r="J179" s="159"/>
      <c r="K179" s="328">
        <f>B179</f>
        <v>3</v>
      </c>
      <c r="L179" s="44"/>
      <c r="M179" s="4"/>
      <c r="N179" s="218"/>
      <c r="O179" s="218"/>
      <c r="P179" s="218"/>
      <c r="Q179" s="211"/>
      <c r="R179" s="212"/>
      <c r="S179" s="4"/>
      <c r="T179" s="172"/>
      <c r="U179" s="130"/>
      <c r="V179" s="4"/>
    </row>
    <row r="180" spans="1:22" s="5" customFormat="1" ht="18" customHeight="1" thickBot="1" x14ac:dyDescent="0.4">
      <c r="A180" s="34"/>
      <c r="B180" s="21"/>
      <c r="C180" s="102"/>
      <c r="D180" s="21"/>
      <c r="G180" s="4"/>
      <c r="H180" s="16"/>
      <c r="I180" s="27"/>
      <c r="J180" s="4"/>
      <c r="K180" s="13"/>
      <c r="L180" s="13"/>
      <c r="M180" s="125"/>
      <c r="N180" s="218"/>
      <c r="O180" s="218"/>
      <c r="P180" s="218"/>
      <c r="Q180" s="211"/>
      <c r="R180" s="212"/>
      <c r="S180" s="4"/>
      <c r="T180" s="173"/>
      <c r="U180" s="130"/>
      <c r="V180" s="4"/>
    </row>
    <row r="181" spans="1:22" s="5" customFormat="1" ht="23.5" customHeight="1" thickBot="1" x14ac:dyDescent="0.4">
      <c r="A181" s="34"/>
      <c r="B181" s="132">
        <v>4</v>
      </c>
      <c r="C181" s="113" t="s">
        <v>327</v>
      </c>
      <c r="D181" s="21"/>
      <c r="H181" s="17" t="s">
        <v>16</v>
      </c>
      <c r="I181" s="357">
        <f>(IF(I182=Normalize!G73,5,IF(I182&lt;Normalize!G73,5,IF(I182&gt;Normalize!I73,0,5-((I182-Normalize!G73)/(Normalize!I73-Normalize!G73))*5)))+IF(I184=Normalize!G75,5,IF(I184&lt;Normalize!G75,5,IF(I184&gt;Normalize!I75,0,5-((I184-Normalize!G75)/(Normalize!I75-Normalize!G75))*5)))+IF(I185=Normalize!G76,5,IF(I185&lt;Normalize!G76,5,IF(I185&gt;Normalize!I76,0,5-((I185-Normalize!G76)/(Normalize!I76-Normalize!G76))*5)))+I186)/4</f>
        <v>1.25</v>
      </c>
      <c r="K181" s="13"/>
      <c r="L181" s="13"/>
      <c r="M181" s="125"/>
      <c r="N181" s="218"/>
      <c r="O181" s="218"/>
      <c r="P181" s="218"/>
      <c r="Q181" s="211"/>
      <c r="R181" s="212"/>
      <c r="S181" s="4"/>
      <c r="T181" s="172"/>
      <c r="U181" s="130"/>
      <c r="V181" s="4"/>
    </row>
    <row r="182" spans="1:22" s="5" customFormat="1" ht="15.5" customHeight="1" x14ac:dyDescent="0.35">
      <c r="A182" s="34"/>
      <c r="B182" s="28">
        <v>1</v>
      </c>
      <c r="C182" s="102" t="s">
        <v>328</v>
      </c>
      <c r="D182" s="21"/>
      <c r="H182" s="6" t="s">
        <v>33</v>
      </c>
      <c r="I182" s="72">
        <v>5</v>
      </c>
      <c r="K182" s="328">
        <f>B182</f>
        <v>1</v>
      </c>
      <c r="L182" s="44"/>
      <c r="M182" s="125"/>
      <c r="N182" s="218"/>
      <c r="O182" s="218"/>
      <c r="P182" s="218"/>
      <c r="Q182" s="211"/>
      <c r="R182" s="212"/>
      <c r="S182" s="4"/>
      <c r="T182" s="172"/>
      <c r="U182" s="130"/>
      <c r="V182" s="4"/>
    </row>
    <row r="183" spans="1:22" s="5" customFormat="1" ht="15.5" customHeight="1" x14ac:dyDescent="0.35">
      <c r="A183" s="34"/>
      <c r="B183" s="28">
        <v>2</v>
      </c>
      <c r="C183" s="112" t="s">
        <v>329</v>
      </c>
      <c r="D183" s="21"/>
      <c r="I183" s="36"/>
      <c r="K183" s="13"/>
      <c r="L183" s="13"/>
      <c r="M183" s="125"/>
      <c r="N183" s="218"/>
      <c r="O183" s="218"/>
      <c r="P183" s="218"/>
      <c r="Q183" s="211"/>
      <c r="R183" s="212"/>
      <c r="S183" s="4"/>
      <c r="T183" s="172"/>
      <c r="U183" s="130"/>
      <c r="V183" s="4"/>
    </row>
    <row r="184" spans="1:22" s="5" customFormat="1" ht="18" customHeight="1" x14ac:dyDescent="0.35">
      <c r="A184" s="34"/>
      <c r="B184" s="28"/>
      <c r="C184" s="102">
        <v>2.1</v>
      </c>
      <c r="D184" s="21" t="s">
        <v>330</v>
      </c>
      <c r="H184" s="6" t="s">
        <v>33</v>
      </c>
      <c r="I184" s="72">
        <v>4</v>
      </c>
      <c r="J184" s="125"/>
      <c r="K184" s="307">
        <f>C184</f>
        <v>2.1</v>
      </c>
      <c r="L184" s="44"/>
      <c r="M184" s="125"/>
      <c r="N184" s="218"/>
      <c r="O184" s="218"/>
      <c r="P184" s="218"/>
      <c r="Q184" s="211"/>
      <c r="R184" s="212"/>
      <c r="S184" s="4"/>
      <c r="T184" s="172"/>
      <c r="U184" s="130"/>
      <c r="V184" s="4"/>
    </row>
    <row r="185" spans="1:22" s="5" customFormat="1" ht="17" customHeight="1" x14ac:dyDescent="0.35">
      <c r="A185" s="35"/>
      <c r="B185" s="28"/>
      <c r="C185" s="102">
        <v>2.2000000000000002</v>
      </c>
      <c r="D185" s="21" t="s">
        <v>331</v>
      </c>
      <c r="H185" s="6" t="s">
        <v>33</v>
      </c>
      <c r="I185" s="72">
        <v>9</v>
      </c>
      <c r="J185" s="125"/>
      <c r="K185" s="307">
        <f>C185</f>
        <v>2.2000000000000002</v>
      </c>
      <c r="L185" s="44"/>
      <c r="M185" s="4"/>
      <c r="N185" s="218"/>
      <c r="O185" s="218"/>
      <c r="P185" s="218"/>
      <c r="Q185" s="211"/>
      <c r="R185" s="212"/>
      <c r="S185" s="4"/>
      <c r="T185" s="172"/>
      <c r="U185" s="130"/>
      <c r="V185" s="4"/>
    </row>
    <row r="186" spans="1:22" s="5" customFormat="1" ht="23.5" customHeight="1" thickBot="1" x14ac:dyDescent="0.4">
      <c r="A186" s="35"/>
      <c r="B186" s="28">
        <v>3</v>
      </c>
      <c r="C186" s="102" t="s">
        <v>332</v>
      </c>
      <c r="D186" s="21"/>
      <c r="G186" s="4"/>
      <c r="H186" s="6" t="s">
        <v>19</v>
      </c>
      <c r="I186" s="107">
        <v>5</v>
      </c>
      <c r="J186" s="4"/>
      <c r="K186" s="328">
        <f>B186</f>
        <v>3</v>
      </c>
      <c r="L186" s="44"/>
      <c r="M186" s="4"/>
      <c r="N186" s="218"/>
      <c r="O186" s="218"/>
      <c r="P186" s="218"/>
      <c r="Q186" s="211"/>
      <c r="R186" s="212"/>
      <c r="S186" s="4"/>
      <c r="T186" s="172"/>
      <c r="U186" s="130"/>
      <c r="V186" s="4"/>
    </row>
    <row r="187" spans="1:22" s="5" customFormat="1" ht="15.5" customHeight="1" thickBot="1" x14ac:dyDescent="0.4">
      <c r="A187" s="35"/>
      <c r="B187" s="21"/>
      <c r="C187" s="102"/>
      <c r="D187" s="21"/>
      <c r="G187" s="4"/>
      <c r="H187" s="16"/>
      <c r="I187" s="27"/>
      <c r="J187" s="4"/>
      <c r="K187" s="13"/>
      <c r="L187" s="13"/>
      <c r="M187" s="4"/>
      <c r="N187" s="218"/>
      <c r="O187" s="218"/>
      <c r="P187" s="218"/>
      <c r="Q187" s="211"/>
      <c r="R187" s="212"/>
      <c r="S187" s="4"/>
      <c r="T187" s="173"/>
      <c r="U187" s="130"/>
      <c r="V187" s="4"/>
    </row>
    <row r="188" spans="1:22" s="5" customFormat="1" ht="23.5" customHeight="1" thickBot="1" x14ac:dyDescent="0.4">
      <c r="A188" s="35"/>
      <c r="B188" s="132">
        <v>5</v>
      </c>
      <c r="C188" s="113" t="s">
        <v>333</v>
      </c>
      <c r="D188" s="21"/>
      <c r="G188" s="4"/>
      <c r="H188" s="17" t="s">
        <v>16</v>
      </c>
      <c r="I188" s="354">
        <f>(I189+I190+I191+IF(I192=Normalize!G79,5,IF(I192&lt;Normalize!G79,5,IF(I192&gt;Normalize!I79,0,((I192-Normalize!G79)/(Normalize!I79-Normalize!G79))*5)))+I193)/5</f>
        <v>3.6</v>
      </c>
      <c r="J188" s="4"/>
      <c r="K188" s="13"/>
      <c r="L188" s="13"/>
      <c r="M188" s="4"/>
      <c r="N188" s="218"/>
      <c r="O188" s="218"/>
      <c r="P188" s="218"/>
      <c r="Q188" s="211"/>
      <c r="R188" s="212"/>
      <c r="S188" s="4"/>
      <c r="T188" s="172"/>
      <c r="U188" s="130"/>
      <c r="V188" s="4"/>
    </row>
    <row r="189" spans="1:22" s="5" customFormat="1" ht="15.5" customHeight="1" x14ac:dyDescent="0.35">
      <c r="A189" s="35"/>
      <c r="B189" s="28">
        <v>1</v>
      </c>
      <c r="C189" s="102" t="s">
        <v>334</v>
      </c>
      <c r="D189" s="21"/>
      <c r="H189" s="69" t="s">
        <v>335</v>
      </c>
      <c r="I189" s="72">
        <v>4</v>
      </c>
      <c r="J189" s="4"/>
      <c r="K189" s="328">
        <f>B189</f>
        <v>1</v>
      </c>
      <c r="L189" s="44"/>
      <c r="M189" s="4"/>
      <c r="N189" s="218"/>
      <c r="O189" s="218"/>
      <c r="P189" s="218"/>
      <c r="Q189" s="211"/>
      <c r="R189" s="212"/>
      <c r="S189" s="4"/>
      <c r="T189" s="172"/>
      <c r="U189" s="130"/>
      <c r="V189" s="4"/>
    </row>
    <row r="190" spans="1:22" s="5" customFormat="1" ht="15.5" customHeight="1" x14ac:dyDescent="0.35">
      <c r="A190" s="35"/>
      <c r="B190" s="28">
        <v>2</v>
      </c>
      <c r="C190" s="103" t="s">
        <v>336</v>
      </c>
      <c r="D190" s="21"/>
      <c r="H190" s="69" t="s">
        <v>335</v>
      </c>
      <c r="I190" s="72">
        <v>4</v>
      </c>
      <c r="J190" s="4"/>
      <c r="K190" s="328">
        <f>B190</f>
        <v>2</v>
      </c>
      <c r="L190" s="44"/>
      <c r="M190" s="4"/>
      <c r="N190" s="218"/>
      <c r="O190" s="218"/>
      <c r="P190" s="218"/>
      <c r="Q190" s="211"/>
      <c r="R190" s="212"/>
      <c r="S190" s="4"/>
      <c r="T190" s="172"/>
      <c r="U190" s="130"/>
      <c r="V190" s="4"/>
    </row>
    <row r="191" spans="1:22" s="5" customFormat="1" ht="18" customHeight="1" x14ac:dyDescent="0.35">
      <c r="A191" s="35"/>
      <c r="B191" s="28">
        <v>3</v>
      </c>
      <c r="C191" s="103" t="s">
        <v>337</v>
      </c>
      <c r="D191" s="21"/>
      <c r="H191" s="6" t="s">
        <v>19</v>
      </c>
      <c r="I191" s="10">
        <v>0</v>
      </c>
      <c r="J191" s="4"/>
      <c r="K191" s="328">
        <f>B191</f>
        <v>3</v>
      </c>
      <c r="L191" s="44"/>
      <c r="M191" s="4"/>
      <c r="N191" s="218"/>
      <c r="O191" s="218"/>
      <c r="P191" s="218"/>
      <c r="Q191" s="211"/>
      <c r="R191" s="212"/>
      <c r="S191" s="4"/>
      <c r="T191" s="172"/>
      <c r="U191" s="130"/>
      <c r="V191" s="4"/>
    </row>
    <row r="192" spans="1:22" s="5" customFormat="1" ht="14.5" customHeight="1" x14ac:dyDescent="0.35">
      <c r="A192" s="35"/>
      <c r="B192" s="28">
        <v>4</v>
      </c>
      <c r="C192" s="103" t="s">
        <v>338</v>
      </c>
      <c r="D192" s="21"/>
      <c r="H192" s="6" t="s">
        <v>29</v>
      </c>
      <c r="I192" s="188">
        <v>15</v>
      </c>
      <c r="J192" s="4"/>
      <c r="K192" s="328">
        <f>B192</f>
        <v>4</v>
      </c>
      <c r="L192" s="44"/>
      <c r="M192" s="4"/>
      <c r="N192" s="218"/>
      <c r="O192" s="218"/>
      <c r="P192" s="218"/>
      <c r="Q192" s="211"/>
      <c r="R192" s="212"/>
      <c r="S192" s="4"/>
      <c r="T192" s="172"/>
      <c r="U192" s="130"/>
      <c r="V192" s="4"/>
    </row>
    <row r="193" spans="1:22" s="5" customFormat="1" ht="23.5" customHeight="1" thickBot="1" x14ac:dyDescent="0.4">
      <c r="A193" s="35"/>
      <c r="B193" s="28">
        <v>5</v>
      </c>
      <c r="C193" s="102" t="s">
        <v>339</v>
      </c>
      <c r="D193" s="21"/>
      <c r="H193" s="6" t="s">
        <v>19</v>
      </c>
      <c r="I193" s="84">
        <v>5</v>
      </c>
      <c r="J193" s="4"/>
      <c r="K193" s="328">
        <f>B193</f>
        <v>5</v>
      </c>
      <c r="L193" s="44"/>
      <c r="M193" s="4"/>
      <c r="N193" s="218"/>
      <c r="O193" s="218"/>
      <c r="P193" s="218"/>
      <c r="Q193" s="211"/>
      <c r="R193" s="212"/>
      <c r="S193" s="4"/>
      <c r="T193" s="172"/>
      <c r="U193" s="130"/>
      <c r="V193" s="4"/>
    </row>
    <row r="194" spans="1:22" s="5" customFormat="1" ht="17.5" customHeight="1" thickBot="1" x14ac:dyDescent="0.4">
      <c r="A194" s="35"/>
      <c r="D194" s="83"/>
      <c r="E194" s="36"/>
      <c r="F194" s="36"/>
      <c r="G194" s="9"/>
      <c r="J194" s="4"/>
      <c r="K194" s="13"/>
      <c r="L194" s="13"/>
      <c r="M194" s="4"/>
      <c r="N194" s="218"/>
      <c r="O194" s="218"/>
      <c r="P194" s="218"/>
      <c r="Q194" s="211"/>
      <c r="R194" s="212"/>
      <c r="S194" s="4"/>
      <c r="T194" s="173"/>
      <c r="U194" s="130"/>
      <c r="V194" s="4"/>
    </row>
    <row r="195" spans="1:22" ht="23.5" customHeight="1" x14ac:dyDescent="0.35">
      <c r="A195" s="35"/>
      <c r="B195" s="132">
        <v>6</v>
      </c>
      <c r="C195" s="113" t="s">
        <v>340</v>
      </c>
      <c r="D195" s="21"/>
      <c r="E195" s="5"/>
      <c r="F195" s="5"/>
      <c r="G195" s="4"/>
      <c r="H195" s="17" t="s">
        <v>16</v>
      </c>
      <c r="I195" s="316">
        <f>(I196*4+I202*8)/12</f>
        <v>3.75</v>
      </c>
      <c r="J195" s="4"/>
      <c r="L195" s="13"/>
      <c r="M195" s="4"/>
      <c r="N195" s="218"/>
      <c r="O195" s="218"/>
      <c r="P195" s="218"/>
      <c r="Q195" s="211"/>
      <c r="R195" s="212"/>
      <c r="S195" s="4"/>
      <c r="T195" s="172"/>
      <c r="U195" s="130"/>
      <c r="V195" s="4"/>
    </row>
    <row r="196" spans="1:22" s="5" customFormat="1" ht="23.5" customHeight="1" thickBot="1" x14ac:dyDescent="0.4">
      <c r="A196" s="35"/>
      <c r="B196" s="329">
        <v>1</v>
      </c>
      <c r="C196" s="330" t="s">
        <v>341</v>
      </c>
      <c r="D196" s="21"/>
      <c r="G196" s="4"/>
      <c r="H196" s="17" t="s">
        <v>342</v>
      </c>
      <c r="I196" s="331">
        <f>SUM(I197:I201)/4</f>
        <v>1.25</v>
      </c>
      <c r="J196" s="4"/>
      <c r="K196" s="13"/>
      <c r="L196" s="13"/>
      <c r="M196" s="4"/>
      <c r="N196" s="218"/>
      <c r="O196" s="218"/>
      <c r="P196" s="218"/>
      <c r="Q196" s="211"/>
      <c r="R196" s="212"/>
      <c r="S196" s="4"/>
      <c r="T196" s="172"/>
      <c r="U196" s="130"/>
      <c r="V196" s="4"/>
    </row>
    <row r="197" spans="1:22" s="5" customFormat="1" ht="14.5" customHeight="1" x14ac:dyDescent="0.35">
      <c r="C197" s="102">
        <v>1.1000000000000001</v>
      </c>
      <c r="D197" s="102" t="s">
        <v>343</v>
      </c>
      <c r="H197" s="6" t="s">
        <v>19</v>
      </c>
      <c r="I197" s="10">
        <v>5</v>
      </c>
      <c r="J197" s="4"/>
      <c r="K197" s="307">
        <f>C197</f>
        <v>1.1000000000000001</v>
      </c>
      <c r="L197" s="44"/>
      <c r="M197" s="4"/>
      <c r="N197" s="218"/>
      <c r="O197" s="218"/>
      <c r="P197" s="218"/>
      <c r="Q197" s="211"/>
      <c r="R197" s="212"/>
      <c r="S197" s="4"/>
      <c r="T197" s="172"/>
      <c r="U197" s="130"/>
      <c r="V197" s="4"/>
    </row>
    <row r="198" spans="1:22" s="5" customFormat="1" ht="14.5" customHeight="1" x14ac:dyDescent="0.35">
      <c r="C198" s="102">
        <v>1.2</v>
      </c>
      <c r="D198" s="102" t="s">
        <v>344</v>
      </c>
      <c r="E198" s="21"/>
      <c r="F198" s="21"/>
      <c r="G198" s="21"/>
      <c r="H198" s="6" t="s">
        <v>19</v>
      </c>
      <c r="I198" s="10">
        <v>0</v>
      </c>
      <c r="J198" s="4"/>
      <c r="K198" s="307">
        <f>C198</f>
        <v>1.2</v>
      </c>
      <c r="L198" s="44"/>
      <c r="M198" s="4"/>
      <c r="N198" s="218"/>
      <c r="O198" s="218"/>
      <c r="P198" s="218"/>
      <c r="Q198" s="211"/>
      <c r="R198" s="212"/>
      <c r="S198" s="4"/>
      <c r="T198" s="172"/>
      <c r="U198" s="130"/>
      <c r="V198" s="4"/>
    </row>
    <row r="199" spans="1:22" s="5" customFormat="1" ht="14.5" customHeight="1" x14ac:dyDescent="0.35">
      <c r="C199" s="102">
        <v>1.3</v>
      </c>
      <c r="D199" s="102" t="s">
        <v>345</v>
      </c>
      <c r="H199" s="6" t="s">
        <v>19</v>
      </c>
      <c r="I199" s="10">
        <v>0</v>
      </c>
      <c r="J199" s="4"/>
      <c r="K199" s="307">
        <f>C199</f>
        <v>1.3</v>
      </c>
      <c r="L199" s="44"/>
      <c r="M199" s="4"/>
      <c r="N199" s="218"/>
      <c r="O199" s="218"/>
      <c r="P199" s="218"/>
      <c r="Q199" s="211"/>
      <c r="R199" s="212"/>
      <c r="S199" s="4"/>
      <c r="T199" s="172"/>
      <c r="U199" s="130"/>
      <c r="V199" s="4"/>
    </row>
    <row r="200" spans="1:22" s="5" customFormat="1" ht="23.5" customHeight="1" thickBot="1" x14ac:dyDescent="0.4">
      <c r="C200" s="102">
        <v>1.4</v>
      </c>
      <c r="D200" s="102" t="s">
        <v>346</v>
      </c>
      <c r="H200" s="6" t="s">
        <v>19</v>
      </c>
      <c r="I200" s="10">
        <v>0</v>
      </c>
      <c r="J200" s="4"/>
      <c r="K200" s="307">
        <f>C200</f>
        <v>1.4</v>
      </c>
      <c r="L200" s="44"/>
      <c r="M200" s="4"/>
      <c r="N200" s="218"/>
      <c r="O200" s="218"/>
      <c r="P200" s="218"/>
      <c r="Q200" s="211"/>
      <c r="R200" s="212"/>
      <c r="S200" s="4"/>
      <c r="T200" s="172"/>
      <c r="U200" s="130"/>
      <c r="V200" s="4"/>
    </row>
    <row r="201" spans="1:22" s="5" customFormat="1" ht="18" customHeight="1" thickBot="1" x14ac:dyDescent="0.4">
      <c r="B201" s="18"/>
      <c r="D201" s="332"/>
      <c r="J201" s="4"/>
      <c r="K201" s="13"/>
      <c r="L201" s="13"/>
      <c r="M201" s="4"/>
      <c r="N201" s="218"/>
      <c r="O201" s="218"/>
      <c r="P201" s="218"/>
      <c r="Q201" s="211"/>
      <c r="R201" s="212"/>
      <c r="S201" s="4"/>
      <c r="T201" s="173"/>
      <c r="U201" s="130"/>
      <c r="V201" s="4"/>
    </row>
    <row r="202" spans="1:22" s="5" customFormat="1" ht="23.5" customHeight="1" thickBot="1" x14ac:dyDescent="0.4">
      <c r="B202" s="329">
        <v>2</v>
      </c>
      <c r="C202" s="330" t="s">
        <v>347</v>
      </c>
      <c r="D202" s="21"/>
      <c r="G202" s="4"/>
      <c r="H202" s="17" t="s">
        <v>342</v>
      </c>
      <c r="I202" s="331">
        <f>SUM(I203:I212)/8</f>
        <v>5</v>
      </c>
      <c r="J202" s="4"/>
      <c r="K202" s="13"/>
      <c r="L202" s="13"/>
      <c r="M202" s="4"/>
      <c r="N202" s="218"/>
      <c r="O202" s="218"/>
      <c r="P202" s="218"/>
      <c r="Q202" s="211"/>
      <c r="R202" s="212"/>
      <c r="S202" s="4"/>
      <c r="T202" s="172"/>
      <c r="U202" s="130"/>
      <c r="V202" s="4"/>
    </row>
    <row r="203" spans="1:22" s="5" customFormat="1" ht="14.5" customHeight="1" x14ac:dyDescent="0.35">
      <c r="A203" s="35"/>
      <c r="C203" s="102">
        <v>2.1</v>
      </c>
      <c r="D203" s="102" t="s">
        <v>348</v>
      </c>
      <c r="H203" s="6" t="s">
        <v>19</v>
      </c>
      <c r="I203" s="10">
        <v>5</v>
      </c>
      <c r="J203" s="4"/>
      <c r="K203" s="307">
        <f>C203</f>
        <v>2.1</v>
      </c>
      <c r="L203" s="44"/>
      <c r="M203" s="4"/>
      <c r="N203" s="218"/>
      <c r="O203" s="218"/>
      <c r="P203" s="218"/>
      <c r="Q203" s="211"/>
      <c r="R203" s="212"/>
      <c r="S203" s="4"/>
      <c r="T203" s="172"/>
      <c r="U203" s="130"/>
      <c r="V203" s="4"/>
    </row>
    <row r="204" spans="1:22" s="5" customFormat="1" ht="14.5" customHeight="1" x14ac:dyDescent="0.35">
      <c r="C204" s="102">
        <v>2.2000000000000002</v>
      </c>
      <c r="D204" s="102" t="s">
        <v>349</v>
      </c>
      <c r="E204" s="36"/>
      <c r="F204" s="36"/>
      <c r="G204" s="36"/>
      <c r="H204" s="6" t="s">
        <v>19</v>
      </c>
      <c r="I204" s="10">
        <v>5</v>
      </c>
      <c r="J204" s="4"/>
      <c r="K204" s="307">
        <f>C204</f>
        <v>2.2000000000000002</v>
      </c>
      <c r="L204" s="44"/>
      <c r="M204" s="4"/>
      <c r="N204" s="218"/>
      <c r="O204" s="218"/>
      <c r="P204" s="218"/>
      <c r="Q204" s="211"/>
      <c r="R204" s="212"/>
      <c r="S204" s="4"/>
      <c r="T204" s="172"/>
      <c r="U204" s="130"/>
      <c r="V204" s="4"/>
    </row>
    <row r="205" spans="1:22" s="5" customFormat="1" ht="18" customHeight="1" x14ac:dyDescent="0.35">
      <c r="C205" s="102">
        <v>2.2999999999999998</v>
      </c>
      <c r="D205" s="102" t="s">
        <v>350</v>
      </c>
      <c r="E205" s="36"/>
      <c r="F205" s="36"/>
      <c r="G205" s="36"/>
      <c r="H205" s="6" t="s">
        <v>19</v>
      </c>
      <c r="I205" s="10">
        <v>5</v>
      </c>
      <c r="J205" s="4"/>
      <c r="K205" s="307">
        <f>C205</f>
        <v>2.2999999999999998</v>
      </c>
      <c r="L205" s="44"/>
      <c r="M205" s="4"/>
      <c r="N205" s="218"/>
      <c r="O205" s="218"/>
      <c r="P205" s="218"/>
      <c r="Q205" s="211"/>
      <c r="R205" s="212"/>
      <c r="S205" s="4"/>
      <c r="T205" s="172"/>
      <c r="U205" s="130"/>
      <c r="V205" s="4"/>
    </row>
    <row r="206" spans="1:22" s="5" customFormat="1" ht="14.5" customHeight="1" x14ac:dyDescent="0.35">
      <c r="C206" s="102">
        <v>2.4</v>
      </c>
      <c r="D206" s="102" t="s">
        <v>351</v>
      </c>
      <c r="H206" s="6" t="s">
        <v>19</v>
      </c>
      <c r="I206" s="10">
        <v>5</v>
      </c>
      <c r="J206" s="4"/>
      <c r="K206" s="307">
        <f>C206</f>
        <v>2.4</v>
      </c>
      <c r="L206" s="44"/>
      <c r="M206" s="4"/>
      <c r="N206" s="218"/>
      <c r="O206" s="218"/>
      <c r="P206" s="218"/>
      <c r="Q206" s="211"/>
      <c r="R206" s="212"/>
      <c r="S206" s="4"/>
      <c r="T206" s="172"/>
      <c r="U206" s="130"/>
      <c r="V206" s="4"/>
    </row>
    <row r="207" spans="1:22" s="5" customFormat="1" ht="14.5" customHeight="1" x14ac:dyDescent="0.35">
      <c r="A207" s="35"/>
      <c r="C207" s="102">
        <v>2.5</v>
      </c>
      <c r="D207" s="112" t="s">
        <v>352</v>
      </c>
      <c r="H207" s="6"/>
      <c r="I207" s="70"/>
      <c r="J207" s="4"/>
      <c r="K207" s="352"/>
      <c r="L207" s="352"/>
      <c r="M207" s="4"/>
      <c r="N207" s="218"/>
      <c r="O207" s="218"/>
      <c r="P207" s="218"/>
      <c r="Q207" s="211"/>
      <c r="R207" s="212"/>
      <c r="S207" s="4"/>
      <c r="T207" s="172"/>
      <c r="U207" s="130"/>
      <c r="V207" s="4"/>
    </row>
    <row r="208" spans="1:22" s="5" customFormat="1" ht="14.5" customHeight="1" x14ac:dyDescent="0.35">
      <c r="A208" s="35"/>
      <c r="B208" s="21"/>
      <c r="D208" s="68" t="s">
        <v>353</v>
      </c>
      <c r="E208" s="21" t="s">
        <v>354</v>
      </c>
      <c r="F208" s="21"/>
      <c r="G208" s="21"/>
      <c r="H208" s="6" t="s">
        <v>19</v>
      </c>
      <c r="I208" s="10">
        <v>5</v>
      </c>
      <c r="J208" s="4"/>
      <c r="K208" s="307" t="str">
        <f>D208</f>
        <v>2.5.1</v>
      </c>
      <c r="L208" s="44"/>
      <c r="M208" s="4"/>
      <c r="N208" s="218"/>
      <c r="O208" s="218"/>
      <c r="P208" s="218"/>
      <c r="Q208" s="211"/>
      <c r="R208" s="212"/>
      <c r="S208" s="4"/>
      <c r="T208" s="172"/>
      <c r="U208" s="130"/>
      <c r="V208" s="4"/>
    </row>
    <row r="209" spans="1:22" s="5" customFormat="1" ht="14.5" customHeight="1" x14ac:dyDescent="0.3">
      <c r="A209" s="35"/>
      <c r="B209" s="21"/>
      <c r="D209" s="68" t="s">
        <v>355</v>
      </c>
      <c r="E209" s="21" t="s">
        <v>356</v>
      </c>
      <c r="F209" s="21"/>
      <c r="G209" s="21"/>
      <c r="H209" s="6" t="s">
        <v>19</v>
      </c>
      <c r="I209" s="10">
        <v>5</v>
      </c>
      <c r="J209" s="4"/>
      <c r="K209" s="307" t="str">
        <f>D209</f>
        <v>2.5.2</v>
      </c>
      <c r="L209" s="44"/>
      <c r="M209" s="4"/>
      <c r="N209" s="218"/>
      <c r="O209" s="218"/>
      <c r="P209" s="218"/>
      <c r="Q209" s="232"/>
      <c r="R209" s="232"/>
      <c r="S209" s="4"/>
      <c r="T209" s="172"/>
      <c r="U209" s="130"/>
      <c r="V209" s="4"/>
    </row>
    <row r="210" spans="1:22" s="5" customFormat="1" ht="14.5" customHeight="1" x14ac:dyDescent="0.3">
      <c r="A210" s="35"/>
      <c r="B210" s="68"/>
      <c r="D210" s="68" t="s">
        <v>357</v>
      </c>
      <c r="E210" s="21" t="s">
        <v>358</v>
      </c>
      <c r="F210" s="21"/>
      <c r="G210" s="21"/>
      <c r="H210" s="6" t="s">
        <v>19</v>
      </c>
      <c r="I210" s="10">
        <v>5</v>
      </c>
      <c r="J210" s="4"/>
      <c r="K210" s="307" t="str">
        <f>D210</f>
        <v>2.5.3</v>
      </c>
      <c r="L210" s="44"/>
      <c r="M210" s="4"/>
      <c r="N210" s="218"/>
      <c r="O210" s="218"/>
      <c r="P210" s="218"/>
      <c r="Q210" s="232"/>
      <c r="R210" s="232"/>
      <c r="S210" s="4"/>
      <c r="T210" s="172"/>
      <c r="U210" s="130"/>
      <c r="V210" s="4"/>
    </row>
    <row r="211" spans="1:22" s="5" customFormat="1" ht="23.5" customHeight="1" thickBot="1" x14ac:dyDescent="0.35">
      <c r="A211" s="35"/>
      <c r="B211" s="68"/>
      <c r="D211" s="68" t="s">
        <v>359</v>
      </c>
      <c r="E211" s="21" t="s">
        <v>360</v>
      </c>
      <c r="F211" s="21"/>
      <c r="G211" s="21"/>
      <c r="H211" s="6" t="s">
        <v>19</v>
      </c>
      <c r="I211" s="10">
        <v>5</v>
      </c>
      <c r="J211" s="4"/>
      <c r="K211" s="307" t="str">
        <f>D211</f>
        <v>2.5.4</v>
      </c>
      <c r="L211" s="44"/>
      <c r="M211" s="4"/>
      <c r="N211" s="218"/>
      <c r="O211" s="218"/>
      <c r="P211" s="218"/>
      <c r="Q211" s="232"/>
      <c r="R211" s="232"/>
      <c r="S211" s="4"/>
      <c r="T211" s="172"/>
      <c r="U211" s="130"/>
      <c r="V211" s="4"/>
    </row>
    <row r="212" spans="1:22" s="5" customFormat="1" ht="14.5" customHeight="1" thickBot="1" x14ac:dyDescent="0.35">
      <c r="A212" s="35"/>
      <c r="B212" s="68"/>
      <c r="C212" s="333"/>
      <c r="D212" s="28"/>
      <c r="E212" s="36"/>
      <c r="F212" s="36"/>
      <c r="G212" s="9"/>
      <c r="H212" s="26"/>
      <c r="I212" s="29"/>
      <c r="J212" s="4"/>
      <c r="K212" s="13"/>
      <c r="L212" s="13"/>
      <c r="M212" s="4"/>
      <c r="N212" s="218"/>
      <c r="O212" s="218"/>
      <c r="P212" s="218"/>
      <c r="Q212" s="232"/>
      <c r="R212" s="232"/>
      <c r="S212" s="4"/>
      <c r="T212" s="173"/>
      <c r="U212" s="130"/>
      <c r="V212" s="4"/>
    </row>
    <row r="213" spans="1:22" ht="23.5" customHeight="1" x14ac:dyDescent="0.3">
      <c r="B213" s="132">
        <v>7</v>
      </c>
      <c r="C213" s="189" t="s">
        <v>361</v>
      </c>
      <c r="D213" s="21"/>
      <c r="E213" s="5"/>
      <c r="F213" s="5"/>
      <c r="G213" s="5"/>
      <c r="H213" s="17" t="s">
        <v>16</v>
      </c>
      <c r="I213" s="358">
        <f>(I214*3+I219*5+I226*5)/13</f>
        <v>3.9121419020145018</v>
      </c>
      <c r="J213" s="4"/>
      <c r="K213" s="13"/>
      <c r="L213" s="285"/>
      <c r="M213" s="4"/>
      <c r="N213" s="218"/>
      <c r="O213" s="218"/>
    </row>
    <row r="214" spans="1:22" s="5" customFormat="1" ht="23.5" customHeight="1" thickBot="1" x14ac:dyDescent="0.35">
      <c r="A214" s="35"/>
      <c r="B214" s="329">
        <v>1</v>
      </c>
      <c r="C214" s="334" t="s">
        <v>362</v>
      </c>
      <c r="D214" s="21"/>
      <c r="H214" s="335" t="s">
        <v>24</v>
      </c>
      <c r="I214" s="359">
        <f>(IF(I215=Normalize!G82,5,IF(I215&lt;Normalize!G82,5,IF(I215&gt;Normalize!I82,0,5-((I215-Normalize!G82)/(Normalize!I82-Normalize!G82))*5)))+IF(I216=Normalize!G83,5,IF(I216&lt;Normalize!G83,5,IF(I216&gt;Normalize!I83,0,5-((I216-Normalize!G83)/(Normalize!I83-Normalize!G83))*5)))+IF(I217=Normalize!G84,5,IF(I217&lt;Normalize!G84,5,IF(I217&gt;Normalize!I84,0,5-((I217-Normalize!G84)/(Normalize!I84-Normalize!G84))*5))))/3</f>
        <v>3.1944444444444446</v>
      </c>
      <c r="J214" s="4"/>
      <c r="K214" s="13"/>
      <c r="L214" s="285"/>
      <c r="M214" s="4"/>
      <c r="N214" s="218"/>
      <c r="O214" s="218"/>
      <c r="P214" s="218"/>
      <c r="Q214" s="232"/>
      <c r="R214" s="232"/>
      <c r="S214" s="4"/>
      <c r="T214" s="172"/>
      <c r="U214" s="130"/>
      <c r="V214" s="4"/>
    </row>
    <row r="215" spans="1:22" s="5" customFormat="1" ht="14.5" customHeight="1" x14ac:dyDescent="0.3">
      <c r="A215" s="35"/>
      <c r="B215" s="28"/>
      <c r="C215" s="336" t="s">
        <v>110</v>
      </c>
      <c r="D215" s="183" t="s">
        <v>363</v>
      </c>
      <c r="G215" s="4"/>
      <c r="H215" s="6" t="s">
        <v>364</v>
      </c>
      <c r="I215" s="337">
        <v>5</v>
      </c>
      <c r="J215" s="4"/>
      <c r="K215" s="328" t="str">
        <f>C215</f>
        <v>1.1</v>
      </c>
      <c r="L215" s="44"/>
      <c r="M215" s="4"/>
      <c r="N215" s="218"/>
      <c r="O215" s="218"/>
      <c r="P215" s="218"/>
      <c r="Q215" s="232"/>
      <c r="R215" s="232"/>
      <c r="S215" s="4"/>
      <c r="T215" s="172"/>
      <c r="U215" s="130"/>
      <c r="V215" s="4"/>
    </row>
    <row r="216" spans="1:22" s="5" customFormat="1" ht="14.5" customHeight="1" x14ac:dyDescent="0.3">
      <c r="A216" s="35"/>
      <c r="B216" s="28"/>
      <c r="C216" s="336" t="s">
        <v>112</v>
      </c>
      <c r="D216" s="183" t="s">
        <v>365</v>
      </c>
      <c r="G216" s="4"/>
      <c r="H216" s="6" t="s">
        <v>364</v>
      </c>
      <c r="I216" s="12">
        <v>4</v>
      </c>
      <c r="J216" s="4"/>
      <c r="K216" s="328" t="str">
        <f>C216</f>
        <v>1.2</v>
      </c>
      <c r="L216" s="44"/>
      <c r="M216" s="4"/>
      <c r="N216" s="218"/>
      <c r="O216" s="218"/>
      <c r="P216" s="218"/>
      <c r="Q216" s="232"/>
      <c r="R216" s="232"/>
      <c r="S216" s="4"/>
      <c r="T216" s="172"/>
      <c r="U216" s="130"/>
      <c r="V216" s="4"/>
    </row>
    <row r="217" spans="1:22" s="5" customFormat="1" ht="23.5" customHeight="1" thickBot="1" x14ac:dyDescent="0.35">
      <c r="A217" s="35"/>
      <c r="B217" s="28"/>
      <c r="C217" s="336" t="s">
        <v>114</v>
      </c>
      <c r="D217" s="183" t="s">
        <v>366</v>
      </c>
      <c r="G217" s="4"/>
      <c r="H217" s="6" t="s">
        <v>364</v>
      </c>
      <c r="I217" s="12">
        <v>2</v>
      </c>
      <c r="J217" s="4"/>
      <c r="K217" s="328" t="str">
        <f>C217</f>
        <v>1.3</v>
      </c>
      <c r="L217" s="44"/>
      <c r="M217" s="4"/>
      <c r="N217" s="218"/>
      <c r="O217" s="218"/>
      <c r="P217" s="218"/>
      <c r="Q217" s="232"/>
      <c r="R217" s="232"/>
      <c r="S217" s="4"/>
      <c r="T217" s="172"/>
      <c r="U217" s="130"/>
      <c r="V217" s="4"/>
    </row>
    <row r="218" spans="1:22" s="5" customFormat="1" ht="14.5" customHeight="1" thickBot="1" x14ac:dyDescent="0.35">
      <c r="A218" s="35"/>
      <c r="B218" s="68"/>
      <c r="C218" s="177"/>
      <c r="D218" s="28"/>
      <c r="E218" s="36"/>
      <c r="F218" s="36"/>
      <c r="G218" s="9"/>
      <c r="H218" s="26"/>
      <c r="I218" s="338"/>
      <c r="J218" s="4"/>
      <c r="K218" s="13"/>
      <c r="L218" s="13"/>
      <c r="M218" s="18"/>
      <c r="N218" s="218"/>
      <c r="O218" s="218"/>
      <c r="P218" s="218"/>
      <c r="Q218" s="232"/>
      <c r="R218" s="232"/>
      <c r="S218" s="66"/>
      <c r="T218" s="173"/>
      <c r="U218" s="130"/>
    </row>
    <row r="219" spans="1:22" s="5" customFormat="1" ht="23.5" customHeight="1" thickBot="1" x14ac:dyDescent="0.4">
      <c r="B219" s="339">
        <v>2</v>
      </c>
      <c r="C219" s="334" t="s">
        <v>367</v>
      </c>
      <c r="D219" s="21"/>
      <c r="H219" s="335" t="s">
        <v>24</v>
      </c>
      <c r="I219" s="360">
        <f>(IF(I220=Normalize!G87,5,IF(I220&lt;Normalize!G87,5,IF(I220&gt;Normalize!I87,0,5-((I220-Normalize!G87)/(Normalize!I87-Normalize!G87))*5)))+IF(I221=Normalize!G88,5,IF(I221&lt;Normalize!G88,5,IF(I221&gt;Normalize!I88,0,((I221-Normalize!G88)/(Normalize!I88-Normalize!G88))*5)))+IF(I222=Normalize!G89,5,IF(I222&lt;Normalize!G89,5,IF(I222&gt;Normalize!I89,0,((I222-Normalize!G89)/(Normalize!I89-Normalize!G89))*5)))+IF(I223=Normalize!G90,5,IF(I223&lt;Normalize!G90,5,IF(I223&gt;Normalize!I90,0,((I223-Normalize!G90)/(Normalize!I90-Normalize!G90))*5)))+IF(I224=Normalize!G91,5,IF(I224&lt;Normalize!G91,5,IF(I224&gt;Normalize!I91,0,((I224-Normalize!G91)/(Normalize!I91-Normalize!G91))*5))))/5</f>
        <v>3.2549022785710378</v>
      </c>
      <c r="J219" s="18"/>
      <c r="K219" s="13"/>
      <c r="L219" s="285"/>
      <c r="M219" s="87"/>
      <c r="N219" s="218"/>
      <c r="O219" s="218"/>
      <c r="P219" s="218"/>
      <c r="Q219" s="232"/>
      <c r="R219" s="232"/>
      <c r="S219" s="4"/>
      <c r="T219" s="172"/>
      <c r="U219" s="130"/>
    </row>
    <row r="220" spans="1:22" s="5" customFormat="1" ht="14.5" customHeight="1" x14ac:dyDescent="0.35">
      <c r="B220" s="19"/>
      <c r="C220" s="340" t="s">
        <v>179</v>
      </c>
      <c r="D220" s="190" t="s">
        <v>368</v>
      </c>
      <c r="H220" s="6" t="s">
        <v>364</v>
      </c>
      <c r="I220" s="341">
        <v>1196</v>
      </c>
      <c r="J220" s="201"/>
      <c r="K220" s="342" t="str">
        <f>C220</f>
        <v>2.1</v>
      </c>
      <c r="L220" s="202"/>
      <c r="M220" s="87"/>
      <c r="N220" s="218"/>
      <c r="O220" s="218"/>
      <c r="P220" s="218"/>
      <c r="Q220" s="232"/>
      <c r="R220" s="232"/>
      <c r="S220" s="4"/>
      <c r="T220" s="172"/>
      <c r="U220" s="130"/>
    </row>
    <row r="221" spans="1:22" ht="18" customHeight="1" x14ac:dyDescent="0.35">
      <c r="B221" s="19"/>
      <c r="C221" s="340" t="s">
        <v>203</v>
      </c>
      <c r="D221" s="190" t="s">
        <v>369</v>
      </c>
      <c r="H221" s="6" t="s">
        <v>370</v>
      </c>
      <c r="I221" s="11">
        <v>281</v>
      </c>
      <c r="J221" s="203"/>
      <c r="K221" s="342" t="str">
        <f>C221</f>
        <v>2.2</v>
      </c>
      <c r="L221" s="202"/>
      <c r="M221" s="18"/>
      <c r="N221" s="233"/>
      <c r="O221" s="233"/>
      <c r="P221" s="233"/>
      <c r="Q221" s="232"/>
      <c r="R221" s="232"/>
      <c r="T221" s="172"/>
      <c r="U221" s="130"/>
    </row>
    <row r="222" spans="1:22" ht="18" customHeight="1" x14ac:dyDescent="0.35">
      <c r="B222" s="19"/>
      <c r="C222" s="340" t="s">
        <v>233</v>
      </c>
      <c r="D222" s="190" t="s">
        <v>371</v>
      </c>
      <c r="E222" s="5"/>
      <c r="F222" s="5"/>
      <c r="G222" s="5"/>
      <c r="H222" s="6" t="s">
        <v>370</v>
      </c>
      <c r="I222" s="12">
        <v>1.73</v>
      </c>
      <c r="J222" s="204"/>
      <c r="K222" s="342" t="str">
        <f>C222</f>
        <v>2.3</v>
      </c>
      <c r="L222" s="202"/>
      <c r="M222" s="18"/>
      <c r="N222" s="233"/>
      <c r="O222" s="233"/>
      <c r="P222" s="233"/>
      <c r="Q222" s="232"/>
      <c r="R222" s="232"/>
      <c r="T222" s="40"/>
    </row>
    <row r="223" spans="1:22" ht="16" customHeight="1" x14ac:dyDescent="0.35">
      <c r="B223" s="191"/>
      <c r="C223" s="343" t="s">
        <v>255</v>
      </c>
      <c r="D223" s="192" t="s">
        <v>372</v>
      </c>
      <c r="H223" s="6" t="s">
        <v>370</v>
      </c>
      <c r="I223" s="361">
        <v>1</v>
      </c>
      <c r="J223" s="362"/>
      <c r="K223" s="342" t="str">
        <f>C223</f>
        <v>2.4</v>
      </c>
      <c r="L223" s="202"/>
      <c r="M223" s="18"/>
      <c r="N223" s="233"/>
      <c r="O223" s="233"/>
      <c r="P223" s="233"/>
      <c r="Q223" s="232"/>
      <c r="R223" s="232"/>
      <c r="T223" s="40"/>
    </row>
    <row r="224" spans="1:22" ht="23.5" customHeight="1" thickBot="1" x14ac:dyDescent="0.4">
      <c r="B224" s="191"/>
      <c r="C224" s="343" t="s">
        <v>277</v>
      </c>
      <c r="D224" s="192" t="s">
        <v>373</v>
      </c>
      <c r="H224" s="6" t="s">
        <v>370</v>
      </c>
      <c r="I224" s="361">
        <v>1</v>
      </c>
      <c r="J224" s="362"/>
      <c r="K224" s="342" t="str">
        <f>C224</f>
        <v>2.5</v>
      </c>
      <c r="L224" s="202"/>
      <c r="M224" s="18"/>
      <c r="N224" s="233"/>
      <c r="O224" s="233"/>
      <c r="P224" s="233"/>
      <c r="Q224" s="232"/>
      <c r="R224" s="232"/>
      <c r="T224" s="40"/>
    </row>
    <row r="225" spans="1:21" ht="18" customHeight="1" thickBot="1" x14ac:dyDescent="0.35">
      <c r="B225" s="193"/>
      <c r="C225" s="193"/>
      <c r="H225" s="6"/>
      <c r="I225" s="344"/>
      <c r="J225" s="6"/>
      <c r="K225" s="161"/>
      <c r="M225" s="18"/>
      <c r="N225" s="233"/>
      <c r="O225" s="233"/>
      <c r="P225" s="233"/>
      <c r="Q225" s="232"/>
      <c r="R225" s="232"/>
      <c r="T225" s="40"/>
    </row>
    <row r="226" spans="1:21" ht="18" customHeight="1" x14ac:dyDescent="0.35">
      <c r="B226" s="345">
        <v>3</v>
      </c>
      <c r="C226" s="346" t="s">
        <v>374</v>
      </c>
      <c r="H226" s="335" t="s">
        <v>24</v>
      </c>
      <c r="I226" s="360">
        <f>(IF(I227=Normalize!G94,5,IF(I227&lt;Normalize!G94,5,IF(I227&gt;Normalize!I94,0,((I227-Normalize!G94)/(Normalize!I94-Normalize!G94))*5)))+IF(I228=Normalize!G95,5,IF(I228&lt;Normalize!G95,5,IF(I228&gt;Normalize!I95,0,((I228-Normalize!G95)/(Normalize!I95-Normalize!G95))*5)))+IF(I229=Normalize!G96,5,IF(I229&lt;Normalize!G96,5,IF(I229&gt;Normalize!I96,0,((I229-Normalize!G96)/(Normalize!I96-Normalize!G96))*5)))+IF(I230=Normalize!G97,5,IF(I230&lt;Normalize!G97,5,IF(I230&gt;Normalize!I97,0,((I230-Normalize!G97)/(Normalize!I97-Normalize!G97))*5)))+IF(I231=Normalize!G98,5,IF(I231&lt;Normalize!G98,5,IF(I231&gt;Normalize!I98,0,((I231-Normalize!G98)/(Normalize!I98-Normalize!G98))*5))))/5</f>
        <v>5</v>
      </c>
      <c r="J226" s="363"/>
      <c r="K226" s="161"/>
      <c r="M226" s="18"/>
      <c r="N226" s="233"/>
      <c r="O226" s="233"/>
      <c r="P226" s="233"/>
      <c r="Q226" s="232"/>
      <c r="R226" s="232"/>
      <c r="T226" s="40"/>
    </row>
    <row r="227" spans="1:21" ht="18" customHeight="1" x14ac:dyDescent="0.35">
      <c r="B227" s="191"/>
      <c r="C227" s="343" t="s">
        <v>375</v>
      </c>
      <c r="D227" s="192" t="s">
        <v>376</v>
      </c>
      <c r="H227" s="6" t="s">
        <v>370</v>
      </c>
      <c r="I227" s="364">
        <v>1</v>
      </c>
      <c r="J227" s="362"/>
      <c r="K227" s="342" t="str">
        <f>C227</f>
        <v>3.1</v>
      </c>
      <c r="L227" s="202"/>
      <c r="M227" s="18"/>
      <c r="N227" s="233"/>
      <c r="O227" s="233"/>
      <c r="P227" s="233"/>
      <c r="Q227" s="232"/>
      <c r="R227" s="232"/>
      <c r="T227" s="40"/>
    </row>
    <row r="228" spans="1:21" ht="18" customHeight="1" x14ac:dyDescent="0.35">
      <c r="B228" s="191"/>
      <c r="C228" s="343" t="s">
        <v>377</v>
      </c>
      <c r="D228" s="192" t="s">
        <v>378</v>
      </c>
      <c r="H228" s="6" t="s">
        <v>370</v>
      </c>
      <c r="I228" s="361">
        <v>1</v>
      </c>
      <c r="J228" s="362"/>
      <c r="K228" s="342" t="str">
        <f>C228</f>
        <v>3.2</v>
      </c>
      <c r="L228" s="202"/>
      <c r="M228" s="18"/>
      <c r="N228" s="233"/>
      <c r="O228" s="233"/>
      <c r="P228" s="233"/>
      <c r="Q228" s="232"/>
      <c r="R228" s="232"/>
      <c r="T228" s="40"/>
      <c r="U228" s="352"/>
    </row>
    <row r="229" spans="1:21" ht="18" customHeight="1" x14ac:dyDescent="0.35">
      <c r="B229" s="191"/>
      <c r="C229" s="343" t="s">
        <v>379</v>
      </c>
      <c r="D229" s="192" t="s">
        <v>380</v>
      </c>
      <c r="H229" s="6" t="s">
        <v>370</v>
      </c>
      <c r="I229" s="205">
        <v>-0.06</v>
      </c>
      <c r="J229" s="206"/>
      <c r="K229" s="342" t="str">
        <f>C229</f>
        <v>3.3</v>
      </c>
      <c r="L229" s="202"/>
      <c r="M229" s="18"/>
      <c r="N229" s="233"/>
      <c r="O229" s="233"/>
      <c r="P229" s="233"/>
      <c r="Q229" s="232"/>
      <c r="R229" s="232"/>
      <c r="T229" s="40"/>
      <c r="U229" s="352"/>
    </row>
    <row r="230" spans="1:21" ht="15.5" customHeight="1" x14ac:dyDescent="0.35">
      <c r="B230" s="191"/>
      <c r="C230" s="343" t="s">
        <v>381</v>
      </c>
      <c r="D230" s="192" t="s">
        <v>382</v>
      </c>
      <c r="H230" s="6" t="s">
        <v>370</v>
      </c>
      <c r="I230" s="205">
        <v>-0.44</v>
      </c>
      <c r="J230" s="206"/>
      <c r="K230" s="342" t="str">
        <f>C230</f>
        <v>3.4</v>
      </c>
      <c r="L230" s="202"/>
      <c r="M230" s="18"/>
      <c r="N230" s="233"/>
      <c r="O230" s="233"/>
      <c r="P230" s="233"/>
      <c r="Q230" s="232"/>
      <c r="R230" s="232"/>
      <c r="T230" s="40"/>
      <c r="U230" s="352"/>
    </row>
    <row r="231" spans="1:21" ht="18" customHeight="1" x14ac:dyDescent="0.35">
      <c r="B231" s="191"/>
      <c r="C231" s="343" t="s">
        <v>383</v>
      </c>
      <c r="D231" s="192" t="s">
        <v>384</v>
      </c>
      <c r="H231" s="6" t="s">
        <v>370</v>
      </c>
      <c r="I231" s="205">
        <v>0.34</v>
      </c>
      <c r="J231" s="206"/>
      <c r="K231" s="342" t="str">
        <f>C231</f>
        <v>3.5</v>
      </c>
      <c r="L231" s="202"/>
      <c r="M231" s="18"/>
      <c r="N231" s="233"/>
      <c r="O231" s="233"/>
      <c r="P231" s="233"/>
      <c r="Q231" s="232"/>
      <c r="R231" s="232"/>
      <c r="T231" s="40"/>
      <c r="U231" s="352"/>
    </row>
    <row r="232" spans="1:21" ht="23" customHeight="1" x14ac:dyDescent="0.3">
      <c r="C232" s="392"/>
      <c r="D232" s="393"/>
      <c r="E232" s="388"/>
      <c r="I232" s="386"/>
      <c r="J232" s="387"/>
      <c r="K232" s="13"/>
      <c r="L232" s="13"/>
      <c r="M232" s="27"/>
      <c r="N232" s="233"/>
      <c r="O232" s="233"/>
      <c r="P232" s="233"/>
      <c r="Q232" s="232"/>
      <c r="R232" s="232"/>
      <c r="S232" s="129"/>
      <c r="T232" s="208"/>
      <c r="U232" s="352"/>
    </row>
    <row r="233" spans="1:21" ht="23" customHeight="1" x14ac:dyDescent="0.3">
      <c r="B233" s="43" t="s">
        <v>385</v>
      </c>
      <c r="C233" s="207" t="s">
        <v>386</v>
      </c>
      <c r="D233" s="234"/>
      <c r="E233" s="235"/>
      <c r="F233" s="164" t="s">
        <v>387</v>
      </c>
      <c r="G233" s="365" t="s">
        <v>388</v>
      </c>
      <c r="I233" s="388"/>
      <c r="J233" s="387"/>
      <c r="K233" s="328">
        <v>1</v>
      </c>
      <c r="L233" s="120"/>
      <c r="M233" s="25"/>
      <c r="N233" s="233"/>
      <c r="O233" s="233"/>
      <c r="P233" s="233"/>
      <c r="Q233" s="232"/>
      <c r="R233" s="232"/>
      <c r="U233" s="352"/>
    </row>
    <row r="234" spans="1:21" ht="18" customHeight="1" x14ac:dyDescent="0.3">
      <c r="B234" s="2"/>
      <c r="C234" s="390"/>
      <c r="D234" s="391"/>
      <c r="E234" s="391"/>
      <c r="F234" s="166"/>
      <c r="G234" s="165"/>
      <c r="I234" s="388"/>
      <c r="J234" s="387"/>
      <c r="K234" s="137">
        <v>2</v>
      </c>
      <c r="L234" s="120"/>
      <c r="M234" s="18"/>
      <c r="N234" s="233"/>
      <c r="O234" s="233"/>
      <c r="P234" s="233"/>
      <c r="Q234" s="236"/>
      <c r="R234" s="236"/>
      <c r="T234" s="352"/>
      <c r="U234" s="352"/>
    </row>
    <row r="235" spans="1:21" ht="18" customHeight="1" x14ac:dyDescent="0.3">
      <c r="B235" s="43" t="s">
        <v>389</v>
      </c>
      <c r="C235" s="207" t="s">
        <v>390</v>
      </c>
      <c r="D235" s="234"/>
      <c r="E235" s="235"/>
      <c r="F235" s="164" t="s">
        <v>391</v>
      </c>
      <c r="G235" s="366" t="s">
        <v>392</v>
      </c>
      <c r="I235" s="353"/>
      <c r="J235" s="353"/>
      <c r="K235" s="328">
        <v>3</v>
      </c>
      <c r="L235" s="120"/>
      <c r="M235" s="5"/>
      <c r="N235" s="233"/>
      <c r="O235" s="233"/>
      <c r="P235" s="233"/>
      <c r="Q235" s="236"/>
      <c r="R235" s="236"/>
      <c r="T235" s="352"/>
      <c r="U235" s="352"/>
    </row>
    <row r="236" spans="1:21" x14ac:dyDescent="0.3">
      <c r="A236" s="5"/>
      <c r="B236" s="5"/>
      <c r="C236" s="28"/>
      <c r="D236" s="106"/>
      <c r="E236" s="102"/>
      <c r="F236" s="5"/>
      <c r="G236" s="16"/>
      <c r="H236" s="5"/>
      <c r="I236" s="5"/>
      <c r="J236" s="18"/>
      <c r="K236" s="13"/>
      <c r="L236" s="13"/>
      <c r="M236" s="18"/>
      <c r="N236" s="233"/>
      <c r="O236" s="233"/>
      <c r="P236" s="233"/>
      <c r="Q236" s="236"/>
      <c r="R236" s="236"/>
      <c r="T236" s="352"/>
      <c r="U236" s="352"/>
    </row>
    <row r="237" spans="1:21" x14ac:dyDescent="0.3">
      <c r="A237" s="35"/>
      <c r="B237" s="5"/>
      <c r="C237" s="28"/>
      <c r="D237" s="106"/>
      <c r="E237" s="102"/>
      <c r="F237" s="5"/>
      <c r="G237" s="16"/>
      <c r="H237" s="5"/>
      <c r="I237" s="5"/>
      <c r="J237" s="18"/>
      <c r="K237" s="18"/>
      <c r="L237" s="18"/>
      <c r="M237" s="18"/>
      <c r="N237" s="233"/>
      <c r="O237" s="233"/>
      <c r="P237" s="233"/>
      <c r="Q237" s="236"/>
      <c r="R237" s="236"/>
      <c r="T237" s="352"/>
      <c r="U237" s="352"/>
    </row>
    <row r="238" spans="1:21" ht="18" customHeight="1" x14ac:dyDescent="0.3">
      <c r="A238" s="35"/>
      <c r="B238" s="5"/>
      <c r="C238" s="176" t="s">
        <v>393</v>
      </c>
      <c r="D238" s="176"/>
      <c r="E238" s="176"/>
      <c r="F238" s="176"/>
      <c r="G238" s="176"/>
      <c r="H238" s="176"/>
      <c r="I238" s="177"/>
      <c r="J238" s="177"/>
      <c r="K238" s="178"/>
      <c r="L238" s="178"/>
      <c r="M238" s="178"/>
      <c r="N238" s="237"/>
      <c r="O238" s="233"/>
      <c r="P238" s="233"/>
      <c r="Q238" s="238"/>
      <c r="R238" s="238"/>
      <c r="T238" s="352"/>
      <c r="U238" s="352"/>
    </row>
    <row r="239" spans="1:21" x14ac:dyDescent="0.35">
      <c r="A239" s="35"/>
      <c r="B239" s="5"/>
      <c r="C239" s="179"/>
      <c r="D239" s="180" t="s">
        <v>394</v>
      </c>
      <c r="E239" s="385"/>
      <c r="F239" s="382"/>
      <c r="G239" s="383"/>
      <c r="H239" s="181"/>
      <c r="I239" s="181"/>
      <c r="J239" s="181"/>
      <c r="K239" s="178"/>
      <c r="L239" s="178"/>
      <c r="M239" s="178"/>
      <c r="N239" s="178"/>
      <c r="O239" s="352"/>
      <c r="P239" s="352"/>
      <c r="Q239" s="61"/>
      <c r="R239" s="61"/>
      <c r="T239" s="352"/>
      <c r="U239" s="352"/>
    </row>
    <row r="240" spans="1:21" x14ac:dyDescent="0.35">
      <c r="A240" s="35"/>
      <c r="B240" s="5"/>
      <c r="C240" s="179"/>
      <c r="D240" s="180" t="s">
        <v>395</v>
      </c>
      <c r="E240" s="381"/>
      <c r="F240" s="382"/>
      <c r="G240" s="383"/>
      <c r="H240" s="182"/>
      <c r="I240" s="177"/>
      <c r="J240" s="182"/>
      <c r="K240" s="177"/>
      <c r="L240" s="177"/>
      <c r="M240" s="177"/>
      <c r="N240" s="177"/>
      <c r="O240" s="352"/>
      <c r="P240" s="352"/>
      <c r="Q240" s="61"/>
      <c r="R240" s="61"/>
      <c r="T240" s="352"/>
      <c r="U240" s="352"/>
    </row>
    <row r="241" spans="1:18" s="352" customFormat="1" x14ac:dyDescent="0.35">
      <c r="A241" s="35"/>
      <c r="B241" s="5"/>
      <c r="C241" s="179"/>
      <c r="D241" s="180" t="s">
        <v>396</v>
      </c>
      <c r="E241" s="381"/>
      <c r="F241" s="382"/>
      <c r="G241" s="383"/>
      <c r="H241" s="183"/>
      <c r="I241" s="394" t="s">
        <v>397</v>
      </c>
      <c r="J241" s="382"/>
      <c r="K241" s="382"/>
      <c r="L241" s="382"/>
      <c r="M241" s="382"/>
      <c r="N241" s="383"/>
      <c r="Q241" s="61"/>
      <c r="R241" s="61"/>
    </row>
    <row r="242" spans="1:18" s="352" customFormat="1" x14ac:dyDescent="0.35">
      <c r="A242" s="35"/>
      <c r="B242" s="5"/>
      <c r="C242" s="179"/>
      <c r="D242" s="180" t="s">
        <v>398</v>
      </c>
      <c r="E242" s="381"/>
      <c r="F242" s="382"/>
      <c r="G242" s="383"/>
      <c r="H242" s="183"/>
      <c r="I242" s="384" t="s">
        <v>399</v>
      </c>
      <c r="J242" s="383"/>
      <c r="K242" s="384" t="s">
        <v>400</v>
      </c>
      <c r="L242" s="383"/>
      <c r="M242" s="389" t="s">
        <v>401</v>
      </c>
      <c r="N242" s="383"/>
      <c r="Q242" s="61"/>
      <c r="R242" s="61"/>
    </row>
    <row r="243" spans="1:18" s="352" customFormat="1" x14ac:dyDescent="0.35">
      <c r="A243" s="35"/>
      <c r="B243" s="5"/>
      <c r="C243" s="179"/>
      <c r="D243" s="180" t="s">
        <v>402</v>
      </c>
      <c r="E243" s="381"/>
      <c r="F243" s="382"/>
      <c r="G243" s="383"/>
      <c r="H243" s="183"/>
      <c r="I243" s="184" t="s">
        <v>403</v>
      </c>
      <c r="J243" s="185" t="s">
        <v>404</v>
      </c>
      <c r="K243" s="184" t="s">
        <v>403</v>
      </c>
      <c r="L243" s="185" t="s">
        <v>404</v>
      </c>
      <c r="M243" s="184" t="s">
        <v>403</v>
      </c>
      <c r="N243" s="185" t="s">
        <v>404</v>
      </c>
      <c r="Q243" s="61"/>
      <c r="R243" s="61"/>
    </row>
    <row r="244" spans="1:18" s="352" customFormat="1" ht="23" customHeight="1" thickBot="1" x14ac:dyDescent="0.4">
      <c r="A244" s="35"/>
      <c r="B244" s="5"/>
      <c r="C244" s="181"/>
      <c r="D244" s="180" t="s">
        <v>405</v>
      </c>
      <c r="E244" s="186" t="s">
        <v>406</v>
      </c>
      <c r="F244" s="186" t="s">
        <v>407</v>
      </c>
      <c r="G244" s="186" t="s">
        <v>408</v>
      </c>
      <c r="H244" s="187" t="s">
        <v>409</v>
      </c>
      <c r="I244" s="367">
        <v>0</v>
      </c>
      <c r="J244" s="368">
        <v>0</v>
      </c>
      <c r="K244" s="367">
        <v>0</v>
      </c>
      <c r="L244" s="368">
        <v>0</v>
      </c>
      <c r="M244" s="367">
        <v>0</v>
      </c>
      <c r="N244" s="368">
        <v>0</v>
      </c>
      <c r="Q244" s="124"/>
      <c r="R244" s="124"/>
    </row>
    <row r="245" spans="1:18" s="352" customFormat="1" ht="18" customHeight="1" x14ac:dyDescent="0.3">
      <c r="A245" s="34"/>
      <c r="B245" s="5"/>
      <c r="C245" s="5"/>
      <c r="D245" s="21"/>
      <c r="E245" s="5"/>
      <c r="F245" s="5"/>
      <c r="G245" s="21"/>
      <c r="H245" s="62"/>
      <c r="I245" s="5"/>
      <c r="J245" s="26"/>
      <c r="K245" s="26"/>
      <c r="L245" s="26"/>
      <c r="M245" s="26"/>
      <c r="Q245" s="111"/>
      <c r="R245" s="111"/>
    </row>
    <row r="246" spans="1:18" s="352" customFormat="1" ht="18" customHeight="1" x14ac:dyDescent="0.3">
      <c r="A246" s="34"/>
      <c r="B246" s="5"/>
      <c r="C246" s="5"/>
      <c r="D246" s="21"/>
      <c r="E246" s="5"/>
      <c r="F246" s="5"/>
      <c r="G246" s="21"/>
      <c r="I246" s="5"/>
      <c r="J246" s="26"/>
      <c r="K246" s="26"/>
      <c r="L246" s="26"/>
      <c r="M246" s="26"/>
      <c r="Q246" s="111"/>
      <c r="R246" s="111"/>
    </row>
    <row r="247" spans="1:18" s="352" customFormat="1" ht="18" customHeight="1" x14ac:dyDescent="0.3">
      <c r="A247" s="34"/>
      <c r="B247" s="5"/>
      <c r="C247" s="5"/>
      <c r="D247" s="21"/>
      <c r="E247" s="5"/>
      <c r="F247" s="5"/>
      <c r="G247" s="21"/>
      <c r="I247" s="5"/>
      <c r="J247" s="26"/>
      <c r="K247" s="26"/>
      <c r="L247" s="26"/>
      <c r="M247" s="26"/>
      <c r="Q247" s="131"/>
      <c r="R247" s="131"/>
    </row>
    <row r="248" spans="1:18" s="352" customFormat="1" ht="18" customHeight="1" x14ac:dyDescent="0.3">
      <c r="A248" s="34"/>
      <c r="B248" s="5"/>
      <c r="C248" s="5"/>
      <c r="D248" s="21"/>
      <c r="E248" s="5"/>
      <c r="F248" s="5"/>
      <c r="G248" s="16"/>
      <c r="I248" s="4"/>
      <c r="J248" s="26"/>
      <c r="K248" s="26"/>
      <c r="L248" s="26"/>
      <c r="M248" s="26"/>
      <c r="Q248" s="23"/>
      <c r="R248" s="23"/>
    </row>
    <row r="249" spans="1:18" s="352" customFormat="1" ht="18" customHeight="1" x14ac:dyDescent="0.3">
      <c r="A249" s="34"/>
      <c r="B249" s="5"/>
      <c r="C249" s="5"/>
      <c r="D249" s="21"/>
      <c r="E249" s="5"/>
      <c r="F249" s="5"/>
      <c r="G249" s="4"/>
      <c r="H249" s="4"/>
      <c r="I249" s="4"/>
      <c r="J249" s="26"/>
      <c r="K249" s="26"/>
      <c r="L249" s="26"/>
      <c r="M249" s="26"/>
      <c r="Q249" s="9"/>
      <c r="R249" s="9"/>
    </row>
    <row r="250" spans="1:18" s="352" customFormat="1" x14ac:dyDescent="0.3">
      <c r="A250" s="34"/>
      <c r="B250" s="5"/>
      <c r="C250" s="5"/>
      <c r="D250" s="21"/>
      <c r="E250" s="5"/>
      <c r="F250" s="5"/>
      <c r="G250" s="4"/>
      <c r="H250" s="286"/>
      <c r="I250" s="4"/>
      <c r="J250" s="4"/>
      <c r="K250" s="4"/>
      <c r="L250" s="4"/>
      <c r="M250" s="4"/>
      <c r="Q250" s="9"/>
      <c r="R250" s="9"/>
    </row>
    <row r="251" spans="1:18" s="352" customFormat="1" x14ac:dyDescent="0.3">
      <c r="A251" s="34"/>
      <c r="D251" s="347"/>
      <c r="J251" s="18"/>
      <c r="K251" s="18"/>
      <c r="L251" s="18"/>
      <c r="M251" s="18"/>
      <c r="Q251" s="13"/>
      <c r="R251" s="13"/>
    </row>
    <row r="252" spans="1:18" s="352" customFormat="1" x14ac:dyDescent="0.3">
      <c r="A252" s="35"/>
      <c r="D252" s="347"/>
      <c r="H252" s="286"/>
      <c r="J252" s="18"/>
      <c r="K252" s="18"/>
      <c r="L252" s="18"/>
      <c r="M252" s="18"/>
      <c r="Q252" s="13"/>
      <c r="R252" s="13"/>
    </row>
    <row r="253" spans="1:18" s="352" customFormat="1" x14ac:dyDescent="0.3">
      <c r="A253" s="35"/>
      <c r="D253" s="347"/>
      <c r="J253" s="18"/>
      <c r="K253" s="18"/>
      <c r="L253" s="18"/>
      <c r="M253" s="18"/>
      <c r="Q253" s="13"/>
      <c r="R253" s="13"/>
    </row>
    <row r="254" spans="1:18" s="352" customFormat="1" x14ac:dyDescent="0.3">
      <c r="A254" s="35"/>
      <c r="B254" s="18"/>
      <c r="C254" s="18"/>
      <c r="D254" s="28"/>
      <c r="E254" s="36"/>
      <c r="F254" s="36"/>
      <c r="G254" s="9"/>
      <c r="H254" s="4"/>
      <c r="I254" s="9"/>
      <c r="J254" s="4"/>
      <c r="K254" s="4"/>
      <c r="L254" s="4"/>
      <c r="M254" s="4"/>
      <c r="Q254" s="13"/>
      <c r="R254" s="13"/>
    </row>
    <row r="255" spans="1:18" s="352" customFormat="1" x14ac:dyDescent="0.3">
      <c r="A255" s="4"/>
      <c r="B255" s="18"/>
      <c r="C255" s="18"/>
      <c r="D255" s="28"/>
      <c r="E255" s="36"/>
      <c r="F255" s="36"/>
      <c r="G255" s="36"/>
      <c r="H255" s="286"/>
      <c r="I255" s="36"/>
      <c r="J255" s="5"/>
      <c r="K255" s="5"/>
      <c r="L255" s="5"/>
      <c r="M255" s="5"/>
      <c r="Q255" s="13"/>
      <c r="R255" s="13"/>
    </row>
    <row r="256" spans="1:18" s="352" customFormat="1" x14ac:dyDescent="0.3">
      <c r="A256" s="5"/>
      <c r="B256" s="18"/>
      <c r="C256" s="18"/>
      <c r="D256" s="28"/>
      <c r="E256" s="36"/>
      <c r="F256" s="36"/>
      <c r="G256" s="36"/>
      <c r="H256" s="5"/>
      <c r="I256" s="36"/>
      <c r="J256" s="5"/>
      <c r="K256" s="5"/>
      <c r="L256" s="5"/>
      <c r="M256" s="5"/>
      <c r="Q256" s="13"/>
      <c r="R256" s="13"/>
    </row>
    <row r="257" spans="1:18" s="352" customFormat="1" x14ac:dyDescent="0.3">
      <c r="A257" s="5"/>
      <c r="B257" s="48"/>
      <c r="C257" s="48"/>
      <c r="D257" s="284"/>
      <c r="E257" s="285"/>
      <c r="F257" s="285"/>
      <c r="G257" s="285"/>
      <c r="H257" s="286"/>
      <c r="I257" s="285"/>
      <c r="J257" s="286"/>
      <c r="K257" s="286"/>
      <c r="L257" s="286"/>
      <c r="M257" s="286"/>
      <c r="Q257" s="13"/>
      <c r="R257" s="13"/>
    </row>
    <row r="258" spans="1:18" s="352" customFormat="1" x14ac:dyDescent="0.3">
      <c r="A258" s="286"/>
      <c r="B258" s="48"/>
      <c r="C258" s="48"/>
      <c r="D258" s="284"/>
      <c r="E258" s="285"/>
      <c r="F258" s="285"/>
      <c r="G258" s="285"/>
      <c r="H258" s="286"/>
      <c r="I258" s="285"/>
      <c r="J258" s="286"/>
      <c r="K258" s="286"/>
      <c r="L258" s="286"/>
      <c r="M258" s="286"/>
      <c r="Q258" s="13"/>
      <c r="R258" s="13"/>
    </row>
    <row r="259" spans="1:18" s="352" customFormat="1" x14ac:dyDescent="0.3">
      <c r="A259" s="286"/>
      <c r="B259" s="48"/>
      <c r="C259" s="48"/>
      <c r="D259" s="284"/>
      <c r="E259" s="285"/>
      <c r="F259" s="285"/>
      <c r="G259" s="285"/>
      <c r="H259" s="286"/>
      <c r="I259" s="285"/>
      <c r="J259" s="286"/>
      <c r="K259" s="286"/>
      <c r="L259" s="286"/>
      <c r="M259" s="286"/>
      <c r="Q259" s="13"/>
      <c r="R259" s="13"/>
    </row>
    <row r="260" spans="1:18" s="352" customFormat="1" x14ac:dyDescent="0.3">
      <c r="A260" s="286"/>
      <c r="B260" s="48"/>
      <c r="C260" s="48"/>
      <c r="D260" s="284"/>
      <c r="E260" s="285"/>
      <c r="F260" s="285"/>
      <c r="G260" s="285"/>
      <c r="H260" s="286"/>
      <c r="I260" s="285"/>
      <c r="J260" s="286"/>
      <c r="K260" s="286"/>
      <c r="L260" s="286"/>
      <c r="M260" s="286"/>
    </row>
    <row r="261" spans="1:18" s="352" customFormat="1" x14ac:dyDescent="0.3">
      <c r="A261" s="286"/>
      <c r="B261" s="48"/>
      <c r="C261" s="48"/>
      <c r="D261" s="284"/>
      <c r="E261" s="285"/>
      <c r="F261" s="285"/>
      <c r="G261" s="285"/>
      <c r="H261" s="286"/>
      <c r="I261" s="285"/>
      <c r="J261" s="286"/>
      <c r="K261" s="286"/>
      <c r="L261" s="286"/>
      <c r="M261" s="286"/>
    </row>
    <row r="262" spans="1:18" s="352" customFormat="1" x14ac:dyDescent="0.3">
      <c r="A262" s="286"/>
      <c r="B262" s="285"/>
      <c r="C262" s="285"/>
      <c r="D262" s="347"/>
      <c r="H262" s="286"/>
      <c r="I262" s="13"/>
    </row>
    <row r="263" spans="1:18" s="352" customFormat="1" x14ac:dyDescent="0.3">
      <c r="A263" s="286"/>
      <c r="B263" s="285"/>
      <c r="C263" s="285"/>
      <c r="D263" s="347"/>
      <c r="I263" s="13"/>
    </row>
    <row r="264" spans="1:18" s="352" customFormat="1" x14ac:dyDescent="0.3">
      <c r="B264" s="285"/>
      <c r="C264" s="285"/>
      <c r="D264" s="347"/>
      <c r="I264" s="13"/>
      <c r="O264" s="13"/>
      <c r="P264" s="13"/>
    </row>
    <row r="265" spans="1:18" s="352" customFormat="1" x14ac:dyDescent="0.3">
      <c r="B265" s="285"/>
      <c r="C265" s="285"/>
      <c r="D265" s="347"/>
      <c r="I265" s="13"/>
      <c r="O265" s="13"/>
      <c r="P265" s="13"/>
    </row>
    <row r="266" spans="1:18" s="352" customFormat="1" x14ac:dyDescent="0.3">
      <c r="B266" s="285"/>
      <c r="C266" s="285"/>
      <c r="D266" s="347"/>
      <c r="I266" s="13"/>
      <c r="O266" s="13"/>
      <c r="P266" s="13"/>
    </row>
    <row r="267" spans="1:18" s="352" customFormat="1" x14ac:dyDescent="0.3">
      <c r="B267" s="285"/>
      <c r="C267" s="285"/>
      <c r="D267" s="347"/>
      <c r="I267" s="13"/>
      <c r="O267" s="13"/>
      <c r="P267" s="13"/>
    </row>
    <row r="268" spans="1:18" s="352" customFormat="1" x14ac:dyDescent="0.3">
      <c r="B268" s="285"/>
      <c r="C268" s="285"/>
      <c r="D268" s="347"/>
      <c r="I268" s="13"/>
      <c r="O268" s="13"/>
      <c r="P268" s="13"/>
    </row>
    <row r="269" spans="1:18" s="352" customFormat="1" x14ac:dyDescent="0.3">
      <c r="B269" s="285"/>
      <c r="C269" s="285"/>
      <c r="D269" s="347"/>
      <c r="I269" s="13"/>
      <c r="O269" s="13"/>
      <c r="P269" s="13"/>
    </row>
    <row r="270" spans="1:18" s="352" customFormat="1" x14ac:dyDescent="0.3">
      <c r="B270" s="285"/>
      <c r="C270" s="285"/>
      <c r="D270" s="347"/>
      <c r="I270" s="13"/>
      <c r="O270" s="13"/>
      <c r="P270" s="13"/>
    </row>
    <row r="271" spans="1:18" s="352" customFormat="1" x14ac:dyDescent="0.3">
      <c r="B271" s="285"/>
      <c r="C271" s="285"/>
      <c r="D271" s="347"/>
      <c r="I271" s="13"/>
      <c r="O271" s="13"/>
      <c r="P271" s="13"/>
    </row>
    <row r="272" spans="1:18" s="352" customFormat="1" x14ac:dyDescent="0.3">
      <c r="B272" s="285"/>
      <c r="C272" s="285"/>
      <c r="D272" s="347"/>
      <c r="I272" s="13"/>
      <c r="O272" s="13"/>
      <c r="P272" s="13"/>
    </row>
    <row r="273" spans="2:16" s="352" customFormat="1" x14ac:dyDescent="0.3">
      <c r="B273" s="285"/>
      <c r="C273" s="285"/>
      <c r="D273" s="347"/>
      <c r="I273" s="13"/>
      <c r="O273" s="13"/>
      <c r="P273" s="13"/>
    </row>
    <row r="274" spans="2:16" s="352" customFormat="1" x14ac:dyDescent="0.3">
      <c r="B274" s="285"/>
      <c r="C274" s="285"/>
      <c r="D274" s="347"/>
      <c r="I274" s="13"/>
      <c r="O274" s="13"/>
      <c r="P274" s="13"/>
    </row>
    <row r="275" spans="2:16" s="352" customFormat="1" x14ac:dyDescent="0.3">
      <c r="B275" s="285"/>
      <c r="C275" s="285"/>
      <c r="D275" s="347"/>
      <c r="I275" s="13"/>
      <c r="O275" s="13"/>
      <c r="P275" s="13"/>
    </row>
    <row r="276" spans="2:16" s="352" customFormat="1" x14ac:dyDescent="0.3">
      <c r="B276" s="285"/>
      <c r="C276" s="285"/>
      <c r="D276" s="347"/>
      <c r="I276" s="13"/>
      <c r="O276" s="13"/>
      <c r="P276" s="13"/>
    </row>
    <row r="277" spans="2:16" s="352" customFormat="1" x14ac:dyDescent="0.3">
      <c r="B277" s="285"/>
      <c r="C277" s="285"/>
      <c r="D277" s="347"/>
      <c r="I277" s="13"/>
      <c r="O277" s="13"/>
      <c r="P277" s="13"/>
    </row>
    <row r="278" spans="2:16" s="352" customFormat="1" x14ac:dyDescent="0.3">
      <c r="B278" s="285"/>
      <c r="C278" s="285"/>
      <c r="D278" s="347"/>
      <c r="I278" s="13"/>
      <c r="O278" s="13"/>
      <c r="P278" s="13"/>
    </row>
    <row r="279" spans="2:16" s="352" customFormat="1" x14ac:dyDescent="0.3">
      <c r="B279" s="285"/>
      <c r="C279" s="285"/>
      <c r="D279" s="347"/>
      <c r="I279" s="13"/>
      <c r="O279" s="13"/>
      <c r="P279" s="13"/>
    </row>
    <row r="280" spans="2:16" s="352" customFormat="1" x14ac:dyDescent="0.3">
      <c r="B280" s="285"/>
      <c r="C280" s="285"/>
      <c r="D280" s="347"/>
      <c r="I280" s="13"/>
      <c r="O280" s="13"/>
      <c r="P280" s="13"/>
    </row>
    <row r="281" spans="2:16" s="352" customFormat="1" x14ac:dyDescent="0.3">
      <c r="B281" s="285"/>
      <c r="C281" s="285"/>
      <c r="D281" s="347"/>
      <c r="I281" s="13"/>
      <c r="O281" s="13"/>
      <c r="P281" s="13"/>
    </row>
    <row r="282" spans="2:16" s="352" customFormat="1" x14ac:dyDescent="0.3">
      <c r="B282" s="48"/>
      <c r="C282" s="48"/>
      <c r="D282" s="284"/>
      <c r="E282" s="285"/>
      <c r="F282" s="285"/>
      <c r="G282" s="285"/>
      <c r="H282" s="286"/>
      <c r="I282" s="285"/>
      <c r="J282" s="286"/>
      <c r="K282" s="286"/>
      <c r="L282" s="286"/>
      <c r="M282" s="286"/>
      <c r="N282" s="286"/>
      <c r="O282" s="285"/>
      <c r="P282" s="285"/>
    </row>
    <row r="283" spans="2:16" s="352" customFormat="1" x14ac:dyDescent="0.3">
      <c r="B283" s="285"/>
      <c r="C283" s="285"/>
      <c r="D283" s="347"/>
      <c r="I283" s="13"/>
      <c r="O283" s="13"/>
      <c r="P283" s="13"/>
    </row>
    <row r="284" spans="2:16" s="352" customFormat="1" x14ac:dyDescent="0.3">
      <c r="B284" s="285"/>
      <c r="C284" s="285"/>
      <c r="D284" s="347"/>
      <c r="I284" s="13"/>
      <c r="O284" s="13"/>
      <c r="P284" s="13"/>
    </row>
    <row r="285" spans="2:16" s="352" customFormat="1" x14ac:dyDescent="0.3">
      <c r="B285" s="285"/>
      <c r="C285" s="285"/>
      <c r="D285" s="347"/>
      <c r="I285" s="13"/>
      <c r="O285" s="13"/>
      <c r="P285" s="13"/>
    </row>
    <row r="286" spans="2:16" s="352" customFormat="1" x14ac:dyDescent="0.3">
      <c r="B286" s="285"/>
      <c r="C286" s="285"/>
      <c r="D286" s="347"/>
      <c r="I286" s="13"/>
      <c r="O286" s="13"/>
      <c r="P286" s="13"/>
    </row>
    <row r="287" spans="2:16" s="352" customFormat="1" x14ac:dyDescent="0.3">
      <c r="B287" s="285"/>
      <c r="C287" s="285"/>
      <c r="D287" s="347"/>
      <c r="I287" s="13"/>
      <c r="O287" s="13"/>
      <c r="P287" s="13"/>
    </row>
    <row r="288" spans="2:16" s="352" customFormat="1" x14ac:dyDescent="0.3">
      <c r="B288" s="285"/>
      <c r="C288" s="285"/>
      <c r="D288" s="347"/>
      <c r="I288" s="13"/>
      <c r="O288" s="13"/>
      <c r="P288" s="13"/>
    </row>
  </sheetData>
  <mergeCells count="12">
    <mergeCell ref="E243:G243"/>
    <mergeCell ref="I242:J242"/>
    <mergeCell ref="E239:G239"/>
    <mergeCell ref="I232:J234"/>
    <mergeCell ref="M242:N242"/>
    <mergeCell ref="E242:G242"/>
    <mergeCell ref="C234:E234"/>
    <mergeCell ref="C232:E232"/>
    <mergeCell ref="I241:N241"/>
    <mergeCell ref="K242:L242"/>
    <mergeCell ref="E241:G241"/>
    <mergeCell ref="E240:G240"/>
  </mergeCells>
  <dataValidations count="4">
    <dataValidation type="list" operator="greaterThanOrEqual" showInputMessage="1" showErrorMessage="1" errorTitle="ניתן להזין בתא זה רק 5 או 0" error="כן=5; לא=0" sqref="I98:I101 I104 I110:I112 I115:I116 I121:I130 I132:I141 I143:I152 I154:I163 I165:I174 I198 I203 I205 I208:I211" xr:uid="{00000000-0002-0000-0000-000000000000}">
      <formula1>"0,5"</formula1>
    </dataValidation>
    <dataValidation type="whole" showInputMessage="1" showErrorMessage="1" errorTitle="תא מוגבל הזנה" error="ערך זה הינו נומרי + בן 4 ספרות בלבד." sqref="I190" xr:uid="{00000000-0002-0000-0000-000001000000}">
      <formula1>1900</formula1>
      <formula2>2100</formula2>
    </dataValidation>
    <dataValidation type="decimal" operator="greaterThanOrEqual" showInputMessage="1" showErrorMessage="1" error="ספרות בלבד" sqref="I45:I47 I49:I51 I53:I55 I57:I59 I61:I63 I65:I67 I69:I71 I73:I75 I77:I79 I81:I83 I86:I94 I117" xr:uid="{00000000-0002-0000-0000-000002000000}">
      <formula1>0</formula1>
    </dataValidation>
    <dataValidation type="list" sqref="I87:I93 I105 I113:I114 I117:I119 I186 I191 I193 I197 I199:I200 I204 I206 P32:P41 P48:P126" xr:uid="{00000000-0002-0000-0000-000003000000}">
      <formula1>"0,5"</formula1>
    </dataValidation>
  </dataValidations>
  <pageMargins left="0" right="0" top="0" bottom="0" header="0" footer="0"/>
  <pageSetup paperSize="9" scale="65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C000"/>
  </sheetPr>
  <dimension ref="A1:P98"/>
  <sheetViews>
    <sheetView showGridLines="0" rightToLeft="1" tabSelected="1" topLeftCell="A46" zoomScale="63" zoomScaleNormal="63" workbookViewId="0">
      <selection activeCell="B58" sqref="B58"/>
    </sheetView>
  </sheetViews>
  <sheetFormatPr defaultColWidth="19" defaultRowHeight="14" x14ac:dyDescent="0.3"/>
  <cols>
    <col min="1" max="1" width="2.08203125" style="63" customWidth="1"/>
    <col min="2" max="2" width="5.4140625" style="64" customWidth="1"/>
    <col min="3" max="3" width="5.75" style="63" customWidth="1"/>
    <col min="4" max="4" width="7.4140625" style="63" customWidth="1"/>
    <col min="5" max="5" width="4.75" style="63" customWidth="1"/>
    <col min="6" max="6" width="43.4140625" style="63" bestFit="1" customWidth="1"/>
    <col min="7" max="8" width="9.75" style="65" bestFit="1" customWidth="1"/>
    <col min="9" max="9" width="11.25" style="65" customWidth="1"/>
    <col min="10" max="16" width="6.4140625" style="63" customWidth="1"/>
    <col min="17" max="21" width="19" style="63" customWidth="1"/>
    <col min="22" max="16384" width="19" style="63"/>
  </cols>
  <sheetData>
    <row r="1" spans="1:16" ht="5.25" customHeight="1" x14ac:dyDescent="0.3"/>
    <row r="2" spans="1:16" ht="31" customHeight="1" x14ac:dyDescent="0.3">
      <c r="B2" s="134" t="s">
        <v>410</v>
      </c>
      <c r="C2" s="134"/>
      <c r="D2" s="134"/>
      <c r="E2" s="121"/>
      <c r="F2" s="121"/>
      <c r="G2" s="81"/>
      <c r="H2" s="81"/>
      <c r="I2" s="81"/>
    </row>
    <row r="3" spans="1:16" ht="11.5" customHeight="1" x14ac:dyDescent="0.3">
      <c r="B3" s="82"/>
      <c r="C3" s="80"/>
      <c r="D3" s="80"/>
      <c r="E3" s="80"/>
      <c r="F3" s="80"/>
    </row>
    <row r="4" spans="1:16" ht="20" customHeight="1" x14ac:dyDescent="0.3">
      <c r="A4" s="35"/>
      <c r="B4" s="132">
        <v>1</v>
      </c>
      <c r="C4" s="113" t="s">
        <v>15</v>
      </c>
      <c r="D4" s="9"/>
      <c r="E4" s="9"/>
      <c r="F4" s="9"/>
      <c r="G4" s="123" t="s">
        <v>411</v>
      </c>
      <c r="H4" s="123" t="s">
        <v>412</v>
      </c>
      <c r="I4" s="123" t="s">
        <v>413</v>
      </c>
      <c r="J4" s="132"/>
      <c r="K4" s="28"/>
      <c r="L4" s="104"/>
      <c r="M4" s="4"/>
      <c r="N4" s="4"/>
      <c r="O4" s="5"/>
      <c r="P4" s="5"/>
    </row>
    <row r="5" spans="1:16" ht="18" customHeight="1" x14ac:dyDescent="0.3">
      <c r="A5" s="35"/>
      <c r="B5" s="28">
        <v>1</v>
      </c>
      <c r="C5" s="104" t="s">
        <v>20</v>
      </c>
      <c r="D5" s="5"/>
      <c r="E5" s="5"/>
      <c r="F5" s="5"/>
      <c r="G5" s="4"/>
      <c r="H5" s="4"/>
      <c r="I5" s="123"/>
      <c r="J5" s="28"/>
      <c r="K5" s="104"/>
      <c r="L5" s="5"/>
      <c r="M5" s="5"/>
      <c r="N5" s="5"/>
      <c r="O5" s="5"/>
      <c r="P5" s="105"/>
    </row>
    <row r="6" spans="1:16" ht="17.149999999999999" customHeight="1" x14ac:dyDescent="0.35">
      <c r="A6" s="35"/>
      <c r="B6" s="28"/>
      <c r="C6" s="261">
        <v>1.1000000000000001</v>
      </c>
      <c r="D6" s="277" t="s">
        <v>23</v>
      </c>
      <c r="E6" s="257"/>
      <c r="F6" s="5"/>
      <c r="I6" s="45"/>
      <c r="J6" s="28"/>
      <c r="K6" s="5"/>
      <c r="L6" s="5"/>
      <c r="M6" s="5"/>
      <c r="N6" s="5"/>
      <c r="O6" s="5"/>
      <c r="P6" s="105"/>
    </row>
    <row r="7" spans="1:16" ht="18" customHeight="1" x14ac:dyDescent="0.35">
      <c r="A7" s="35"/>
      <c r="B7" s="28"/>
      <c r="C7" s="244"/>
      <c r="D7" s="244" t="s">
        <v>27</v>
      </c>
      <c r="E7" s="278" t="s">
        <v>28</v>
      </c>
      <c r="F7" s="140"/>
      <c r="G7" s="144">
        <v>130</v>
      </c>
      <c r="H7" s="144">
        <f>(G7+I7)/2</f>
        <v>130</v>
      </c>
      <c r="I7" s="144">
        <v>130</v>
      </c>
      <c r="J7" s="28"/>
      <c r="K7" s="106"/>
      <c r="L7" s="150"/>
      <c r="M7" s="5"/>
      <c r="N7" s="5"/>
      <c r="O7" s="5"/>
      <c r="P7" s="105"/>
    </row>
    <row r="8" spans="1:16" ht="18" customHeight="1" x14ac:dyDescent="0.35">
      <c r="A8" s="35"/>
      <c r="B8" s="28"/>
      <c r="C8" s="244"/>
      <c r="D8" s="244" t="s">
        <v>31</v>
      </c>
      <c r="E8" s="278" t="s">
        <v>32</v>
      </c>
      <c r="F8" s="21"/>
      <c r="G8" s="145">
        <v>60</v>
      </c>
      <c r="H8" s="145">
        <f>(G8+I8)/2</f>
        <v>60</v>
      </c>
      <c r="I8" s="145">
        <v>60</v>
      </c>
      <c r="J8" s="28"/>
      <c r="K8" s="104"/>
      <c r="L8" s="106"/>
      <c r="M8" s="21"/>
      <c r="N8" s="140"/>
      <c r="O8" s="140"/>
      <c r="P8" s="6"/>
    </row>
    <row r="9" spans="1:16" ht="18" customHeight="1" x14ac:dyDescent="0.35">
      <c r="A9" s="35"/>
      <c r="B9" s="28"/>
      <c r="C9" s="244"/>
      <c r="D9" s="244" t="s">
        <v>35</v>
      </c>
      <c r="E9" s="278" t="s">
        <v>36</v>
      </c>
      <c r="F9" s="21"/>
      <c r="G9" s="145">
        <v>90</v>
      </c>
      <c r="H9" s="145">
        <f>(G9+I9)/2</f>
        <v>90</v>
      </c>
      <c r="I9" s="145">
        <v>90</v>
      </c>
      <c r="J9" s="28"/>
      <c r="K9" s="104"/>
      <c r="L9" s="106"/>
      <c r="M9" s="21"/>
      <c r="N9" s="5"/>
      <c r="O9" s="5"/>
      <c r="P9" s="6"/>
    </row>
    <row r="10" spans="1:16" ht="17.149999999999999" customHeight="1" x14ac:dyDescent="0.35">
      <c r="B10" s="28"/>
      <c r="C10" s="261">
        <v>1.2</v>
      </c>
      <c r="D10" s="277" t="s">
        <v>38</v>
      </c>
      <c r="E10" s="277"/>
      <c r="F10" s="21"/>
      <c r="J10" s="28"/>
      <c r="K10" s="104"/>
      <c r="L10" s="106"/>
      <c r="M10" s="21"/>
      <c r="N10" s="5"/>
      <c r="O10" s="5"/>
      <c r="P10" s="6"/>
    </row>
    <row r="11" spans="1:16" ht="17.149999999999999" customHeight="1" x14ac:dyDescent="0.35">
      <c r="B11" s="28"/>
      <c r="C11" s="279"/>
      <c r="D11" s="244" t="s">
        <v>40</v>
      </c>
      <c r="E11" s="278" t="s">
        <v>28</v>
      </c>
      <c r="F11" s="140"/>
      <c r="G11" s="144">
        <v>60</v>
      </c>
      <c r="H11" s="144">
        <f>(G11+I11)/2</f>
        <v>60</v>
      </c>
      <c r="I11" s="144">
        <v>60</v>
      </c>
      <c r="J11" s="28"/>
      <c r="K11" s="106"/>
      <c r="L11" s="141"/>
      <c r="M11" s="141"/>
      <c r="N11" s="140"/>
      <c r="O11" s="5"/>
      <c r="P11" s="105"/>
    </row>
    <row r="12" spans="1:16" ht="17.149999999999999" customHeight="1" x14ac:dyDescent="0.35">
      <c r="B12" s="28"/>
      <c r="C12" s="244"/>
      <c r="D12" s="244" t="s">
        <v>42</v>
      </c>
      <c r="E12" s="278" t="s">
        <v>32</v>
      </c>
      <c r="F12" s="21"/>
      <c r="G12" s="145">
        <v>20</v>
      </c>
      <c r="H12" s="145">
        <f>(G12+I12)/2</f>
        <v>20</v>
      </c>
      <c r="I12" s="145">
        <v>20</v>
      </c>
      <c r="J12" s="28"/>
      <c r="K12" s="104"/>
      <c r="L12" s="106"/>
      <c r="M12" s="21"/>
      <c r="N12" s="5"/>
      <c r="O12" s="5"/>
      <c r="P12" s="6"/>
    </row>
    <row r="13" spans="1:16" ht="17.149999999999999" customHeight="1" x14ac:dyDescent="0.35">
      <c r="B13" s="28"/>
      <c r="C13" s="279"/>
      <c r="D13" s="244" t="s">
        <v>44</v>
      </c>
      <c r="E13" s="278" t="s">
        <v>36</v>
      </c>
      <c r="F13" s="21"/>
      <c r="G13" s="145">
        <v>30</v>
      </c>
      <c r="H13" s="145">
        <f>(G13+I13)/2</f>
        <v>30</v>
      </c>
      <c r="I13" s="145">
        <v>30</v>
      </c>
      <c r="J13" s="28"/>
      <c r="K13" s="104"/>
      <c r="L13" s="106"/>
      <c r="M13" s="21"/>
      <c r="N13" s="5"/>
      <c r="O13" s="5"/>
      <c r="P13" s="6"/>
    </row>
    <row r="14" spans="1:16" ht="17.149999999999999" customHeight="1" x14ac:dyDescent="0.35">
      <c r="B14" s="28"/>
      <c r="C14" s="261">
        <v>1.3</v>
      </c>
      <c r="D14" s="277" t="s">
        <v>46</v>
      </c>
      <c r="E14" s="277"/>
      <c r="F14" s="21"/>
      <c r="J14" s="28"/>
      <c r="K14" s="104"/>
      <c r="L14" s="106"/>
      <c r="M14" s="21"/>
      <c r="N14" s="5"/>
      <c r="O14" s="5"/>
      <c r="P14" s="6"/>
    </row>
    <row r="15" spans="1:16" ht="17.149999999999999" customHeight="1" x14ac:dyDescent="0.35">
      <c r="B15" s="28"/>
      <c r="C15" s="279"/>
      <c r="D15" s="244" t="s">
        <v>48</v>
      </c>
      <c r="E15" s="278" t="s">
        <v>28</v>
      </c>
      <c r="F15" s="5"/>
      <c r="G15" s="144">
        <v>5</v>
      </c>
      <c r="H15" s="144">
        <f>(G15+I15)/2</f>
        <v>5</v>
      </c>
      <c r="I15" s="144">
        <v>5</v>
      </c>
      <c r="J15" s="28"/>
      <c r="K15" s="106"/>
      <c r="L15" s="150"/>
      <c r="M15" s="141"/>
      <c r="N15" s="140"/>
      <c r="O15" s="5"/>
      <c r="P15" s="105"/>
    </row>
    <row r="16" spans="1:16" ht="17.149999999999999" customHeight="1" x14ac:dyDescent="0.35">
      <c r="B16" s="28"/>
      <c r="C16" s="279"/>
      <c r="D16" s="244" t="s">
        <v>49</v>
      </c>
      <c r="E16" s="278" t="s">
        <v>32</v>
      </c>
      <c r="F16" s="140"/>
      <c r="G16" s="145">
        <v>8</v>
      </c>
      <c r="H16" s="145">
        <f>(G16+I16)/2</f>
        <v>8</v>
      </c>
      <c r="I16" s="145">
        <v>8</v>
      </c>
      <c r="J16" s="28"/>
      <c r="K16" s="104"/>
      <c r="L16" s="106"/>
      <c r="M16" s="21"/>
      <c r="N16" s="5"/>
      <c r="O16" s="5"/>
      <c r="P16" s="6"/>
    </row>
    <row r="17" spans="2:16" ht="17.149999999999999" customHeight="1" x14ac:dyDescent="0.35">
      <c r="B17" s="28"/>
      <c r="C17" s="279"/>
      <c r="D17" s="244" t="s">
        <v>50</v>
      </c>
      <c r="E17" s="278" t="s">
        <v>36</v>
      </c>
      <c r="F17" s="21"/>
      <c r="G17" s="145">
        <v>22</v>
      </c>
      <c r="H17" s="145">
        <f>(G17+I17)/2</f>
        <v>22</v>
      </c>
      <c r="I17" s="145">
        <v>22</v>
      </c>
      <c r="J17" s="28"/>
      <c r="K17" s="104"/>
      <c r="L17" s="106"/>
      <c r="M17" s="21"/>
      <c r="N17" s="5"/>
      <c r="O17" s="5"/>
      <c r="P17" s="6"/>
    </row>
    <row r="18" spans="2:16" ht="17.149999999999999" customHeight="1" x14ac:dyDescent="0.35">
      <c r="B18" s="28"/>
      <c r="C18" s="261">
        <v>1.4</v>
      </c>
      <c r="D18" s="277" t="s">
        <v>51</v>
      </c>
      <c r="E18" s="277"/>
      <c r="F18" s="21"/>
      <c r="J18" s="28"/>
      <c r="K18" s="104"/>
      <c r="L18" s="106"/>
      <c r="M18" s="21"/>
      <c r="N18" s="5"/>
      <c r="O18" s="5"/>
      <c r="P18" s="6"/>
    </row>
    <row r="19" spans="2:16" ht="17.149999999999999" customHeight="1" x14ac:dyDescent="0.35">
      <c r="B19" s="28"/>
      <c r="C19" s="279"/>
      <c r="D19" s="244" t="s">
        <v>52</v>
      </c>
      <c r="E19" s="278" t="s">
        <v>28</v>
      </c>
      <c r="F19" s="21"/>
      <c r="G19" s="144">
        <v>5</v>
      </c>
      <c r="H19" s="144">
        <f>(G19+I19)/2</f>
        <v>5</v>
      </c>
      <c r="I19" s="144">
        <v>5</v>
      </c>
      <c r="J19" s="28"/>
      <c r="K19" s="106"/>
      <c r="L19" s="139"/>
      <c r="M19" s="141"/>
      <c r="N19" s="140"/>
      <c r="O19" s="5"/>
      <c r="P19" s="105"/>
    </row>
    <row r="20" spans="2:16" ht="17.149999999999999" customHeight="1" x14ac:dyDescent="0.35">
      <c r="B20" s="28"/>
      <c r="C20" s="279"/>
      <c r="D20" s="244" t="s">
        <v>54</v>
      </c>
      <c r="E20" s="278" t="s">
        <v>32</v>
      </c>
      <c r="F20" s="140"/>
      <c r="G20" s="145">
        <v>8</v>
      </c>
      <c r="H20" s="145">
        <f>(G20+I20)/2</f>
        <v>8</v>
      </c>
      <c r="I20" s="145">
        <v>8</v>
      </c>
      <c r="J20" s="28"/>
      <c r="K20" s="104"/>
      <c r="L20" s="5"/>
      <c r="M20" s="21"/>
      <c r="N20" s="5"/>
      <c r="O20" s="140"/>
      <c r="P20" s="6"/>
    </row>
    <row r="21" spans="2:16" ht="17.149999999999999" customHeight="1" x14ac:dyDescent="0.35">
      <c r="B21" s="28"/>
      <c r="C21" s="279"/>
      <c r="D21" s="244" t="s">
        <v>57</v>
      </c>
      <c r="E21" s="278" t="s">
        <v>36</v>
      </c>
      <c r="F21" s="21"/>
      <c r="G21" s="145">
        <v>22</v>
      </c>
      <c r="H21" s="145">
        <f>(G21+I21)/2</f>
        <v>22</v>
      </c>
      <c r="I21" s="145">
        <v>22</v>
      </c>
      <c r="J21" s="28"/>
      <c r="K21" s="104"/>
      <c r="L21" s="5"/>
      <c r="M21" s="21"/>
      <c r="N21" s="5"/>
      <c r="O21" s="5"/>
      <c r="P21" s="6"/>
    </row>
    <row r="22" spans="2:16" ht="17.149999999999999" customHeight="1" x14ac:dyDescent="0.35">
      <c r="B22" s="28"/>
      <c r="C22" s="261">
        <v>1.5</v>
      </c>
      <c r="D22" s="277" t="s">
        <v>59</v>
      </c>
      <c r="E22" s="277"/>
      <c r="F22" s="21"/>
      <c r="J22" s="28"/>
      <c r="K22" s="5"/>
      <c r="L22" s="5"/>
      <c r="M22" s="21"/>
      <c r="N22" s="5"/>
      <c r="O22" s="5"/>
      <c r="P22" s="6"/>
    </row>
    <row r="23" spans="2:16" ht="17.149999999999999" customHeight="1" x14ac:dyDescent="0.35">
      <c r="B23" s="28"/>
      <c r="C23" s="279"/>
      <c r="D23" s="244" t="s">
        <v>61</v>
      </c>
      <c r="E23" s="278" t="s">
        <v>28</v>
      </c>
      <c r="F23" s="21"/>
      <c r="G23" s="144">
        <v>5</v>
      </c>
      <c r="H23" s="144">
        <f>(G23+I23)/2</f>
        <v>5</v>
      </c>
      <c r="I23" s="144">
        <v>5</v>
      </c>
      <c r="J23" s="28"/>
      <c r="K23" s="106"/>
      <c r="L23" s="139"/>
      <c r="M23" s="5"/>
      <c r="N23" s="140"/>
      <c r="O23" s="5"/>
      <c r="P23" s="105"/>
    </row>
    <row r="24" spans="2:16" ht="17.149999999999999" customHeight="1" x14ac:dyDescent="0.35">
      <c r="B24" s="28"/>
      <c r="C24" s="279"/>
      <c r="D24" s="244" t="s">
        <v>63</v>
      </c>
      <c r="E24" s="278" t="s">
        <v>32</v>
      </c>
      <c r="F24" s="140"/>
      <c r="G24" s="145">
        <v>8</v>
      </c>
      <c r="H24" s="145">
        <f>(G24+I24)/2</f>
        <v>8</v>
      </c>
      <c r="I24" s="145">
        <v>8</v>
      </c>
      <c r="J24" s="28"/>
      <c r="K24" s="106"/>
      <c r="L24" s="106"/>
      <c r="M24" s="21"/>
      <c r="N24" s="5"/>
      <c r="O24" s="140"/>
      <c r="P24" s="6"/>
    </row>
    <row r="25" spans="2:16" ht="17.149999999999999" customHeight="1" x14ac:dyDescent="0.35">
      <c r="B25" s="28"/>
      <c r="C25" s="279"/>
      <c r="D25" s="244" t="s">
        <v>65</v>
      </c>
      <c r="E25" s="278" t="s">
        <v>36</v>
      </c>
      <c r="F25" s="5"/>
      <c r="G25" s="145">
        <v>22</v>
      </c>
      <c r="H25" s="145">
        <f>(G25+I25)/2</f>
        <v>22</v>
      </c>
      <c r="I25" s="145">
        <v>22</v>
      </c>
      <c r="J25" s="28"/>
      <c r="K25" s="106"/>
      <c r="L25" s="106"/>
      <c r="M25" s="21"/>
      <c r="N25" s="5"/>
      <c r="O25" s="140"/>
      <c r="P25" s="6"/>
    </row>
    <row r="26" spans="2:16" ht="17.149999999999999" customHeight="1" x14ac:dyDescent="0.35">
      <c r="B26" s="28"/>
      <c r="C26" s="261">
        <v>1.6</v>
      </c>
      <c r="D26" s="277" t="s">
        <v>67</v>
      </c>
      <c r="E26" s="277"/>
      <c r="F26" s="5"/>
      <c r="J26" s="28"/>
      <c r="K26" s="106"/>
      <c r="L26" s="106"/>
      <c r="M26" s="21"/>
      <c r="N26" s="5"/>
      <c r="O26" s="140"/>
      <c r="P26" s="6"/>
    </row>
    <row r="27" spans="2:16" ht="17.149999999999999" customHeight="1" x14ac:dyDescent="0.35">
      <c r="B27" s="28"/>
      <c r="C27" s="279"/>
      <c r="D27" s="244" t="s">
        <v>69</v>
      </c>
      <c r="E27" s="278" t="s">
        <v>28</v>
      </c>
      <c r="F27" s="5"/>
      <c r="G27" s="144">
        <v>5</v>
      </c>
      <c r="H27" s="144">
        <f>(G27+I27)/2</f>
        <v>5</v>
      </c>
      <c r="I27" s="144">
        <v>5</v>
      </c>
      <c r="J27" s="28"/>
      <c r="K27" s="106"/>
      <c r="L27" s="139"/>
      <c r="M27" s="5"/>
      <c r="N27" s="5"/>
      <c r="O27" s="140"/>
      <c r="P27" s="105"/>
    </row>
    <row r="28" spans="2:16" ht="17.149999999999999" customHeight="1" x14ac:dyDescent="0.35">
      <c r="B28" s="28"/>
      <c r="C28" s="279"/>
      <c r="D28" s="244" t="s">
        <v>71</v>
      </c>
      <c r="E28" s="278" t="s">
        <v>32</v>
      </c>
      <c r="F28" s="5"/>
      <c r="G28" s="145">
        <v>8</v>
      </c>
      <c r="H28" s="145">
        <f>(G28+I28)/2</f>
        <v>8</v>
      </c>
      <c r="I28" s="145">
        <v>8</v>
      </c>
      <c r="J28" s="28"/>
      <c r="K28" s="5"/>
      <c r="L28" s="106"/>
      <c r="M28" s="21"/>
      <c r="N28" s="5"/>
      <c r="O28" s="5"/>
      <c r="P28" s="6"/>
    </row>
    <row r="29" spans="2:16" ht="17.149999999999999" customHeight="1" x14ac:dyDescent="0.35">
      <c r="B29" s="5"/>
      <c r="C29" s="279"/>
      <c r="D29" s="244" t="s">
        <v>73</v>
      </c>
      <c r="E29" s="278" t="s">
        <v>36</v>
      </c>
      <c r="F29" s="5"/>
      <c r="G29" s="145">
        <v>22</v>
      </c>
      <c r="H29" s="145">
        <f>(G29+I29)/2</f>
        <v>22</v>
      </c>
      <c r="I29" s="145">
        <v>22</v>
      </c>
      <c r="J29" s="28"/>
      <c r="K29" s="104"/>
      <c r="L29" s="106"/>
      <c r="M29" s="21"/>
      <c r="N29" s="5"/>
      <c r="O29" s="5"/>
      <c r="P29" s="6"/>
    </row>
    <row r="30" spans="2:16" s="281" customFormat="1" ht="17.149999999999999" customHeight="1" x14ac:dyDescent="0.35">
      <c r="B30" s="244"/>
      <c r="C30" s="245">
        <v>1.7</v>
      </c>
      <c r="D30" s="277" t="s">
        <v>75</v>
      </c>
      <c r="E30" s="277"/>
      <c r="F30" s="244"/>
      <c r="G30" s="282"/>
      <c r="H30" s="282"/>
      <c r="I30" s="282"/>
      <c r="J30" s="243"/>
      <c r="K30" s="260"/>
      <c r="L30" s="261"/>
      <c r="M30" s="283"/>
      <c r="N30" s="244"/>
      <c r="O30" s="244"/>
      <c r="P30" s="246"/>
    </row>
    <row r="31" spans="2:16" s="281" customFormat="1" ht="17.149999999999999" customHeight="1" x14ac:dyDescent="0.35">
      <c r="B31" s="244"/>
      <c r="C31" s="244"/>
      <c r="D31" s="244" t="s">
        <v>77</v>
      </c>
      <c r="E31" s="278" t="s">
        <v>28</v>
      </c>
      <c r="F31" s="244"/>
      <c r="G31" s="144">
        <v>5</v>
      </c>
      <c r="H31" s="144">
        <f>(G31+I31)/2</f>
        <v>5</v>
      </c>
      <c r="I31" s="144">
        <v>5</v>
      </c>
      <c r="J31" s="243"/>
      <c r="K31" s="260"/>
      <c r="L31" s="261"/>
      <c r="M31" s="283"/>
      <c r="N31" s="244"/>
      <c r="O31" s="244"/>
      <c r="P31" s="246"/>
    </row>
    <row r="32" spans="2:16" s="281" customFormat="1" ht="17.149999999999999" customHeight="1" x14ac:dyDescent="0.35">
      <c r="B32" s="244"/>
      <c r="C32" s="244"/>
      <c r="D32" s="244" t="s">
        <v>79</v>
      </c>
      <c r="E32" s="278" t="s">
        <v>32</v>
      </c>
      <c r="F32" s="244"/>
      <c r="G32" s="145">
        <v>8</v>
      </c>
      <c r="H32" s="145">
        <f>(G32+I32)/2</f>
        <v>8</v>
      </c>
      <c r="I32" s="145">
        <v>8</v>
      </c>
      <c r="J32" s="243"/>
      <c r="K32" s="260"/>
      <c r="L32" s="261"/>
      <c r="M32" s="283"/>
      <c r="N32" s="244"/>
      <c r="O32" s="244"/>
      <c r="P32" s="246"/>
    </row>
    <row r="33" spans="2:16" s="281" customFormat="1" ht="17.149999999999999" customHeight="1" x14ac:dyDescent="0.35">
      <c r="B33" s="244"/>
      <c r="C33" s="244"/>
      <c r="D33" s="244" t="s">
        <v>81</v>
      </c>
      <c r="E33" s="278" t="s">
        <v>36</v>
      </c>
      <c r="F33" s="244"/>
      <c r="G33" s="145">
        <v>22</v>
      </c>
      <c r="H33" s="145">
        <f>(G33+I33)/2</f>
        <v>22</v>
      </c>
      <c r="I33" s="145">
        <v>22</v>
      </c>
      <c r="J33" s="243"/>
      <c r="K33" s="260"/>
      <c r="L33" s="261"/>
      <c r="M33" s="283"/>
      <c r="N33" s="244"/>
      <c r="O33" s="244"/>
      <c r="P33" s="246"/>
    </row>
    <row r="34" spans="2:16" s="281" customFormat="1" ht="17.149999999999999" customHeight="1" x14ac:dyDescent="0.35">
      <c r="B34" s="244"/>
      <c r="C34" s="245">
        <v>1.8</v>
      </c>
      <c r="D34" s="277" t="s">
        <v>83</v>
      </c>
      <c r="E34" s="257"/>
      <c r="F34" s="244"/>
      <c r="G34" s="65"/>
      <c r="H34" s="65"/>
      <c r="I34" s="65"/>
      <c r="J34" s="243"/>
      <c r="K34" s="260"/>
      <c r="L34" s="261"/>
      <c r="M34" s="283"/>
      <c r="N34" s="244"/>
      <c r="O34" s="244"/>
      <c r="P34" s="246"/>
    </row>
    <row r="35" spans="2:16" s="281" customFormat="1" ht="17.149999999999999" customHeight="1" x14ac:dyDescent="0.35">
      <c r="B35" s="244"/>
      <c r="C35" s="244"/>
      <c r="D35" s="244" t="s">
        <v>85</v>
      </c>
      <c r="E35" s="278" t="s">
        <v>28</v>
      </c>
      <c r="F35" s="244"/>
      <c r="G35" s="144">
        <v>5</v>
      </c>
      <c r="H35" s="144">
        <f>(G35+I35)/2</f>
        <v>5</v>
      </c>
      <c r="I35" s="144">
        <v>5</v>
      </c>
      <c r="J35" s="243"/>
      <c r="K35" s="260"/>
      <c r="L35" s="261"/>
      <c r="M35" s="283"/>
      <c r="N35" s="244"/>
      <c r="O35" s="244"/>
      <c r="P35" s="246"/>
    </row>
    <row r="36" spans="2:16" s="281" customFormat="1" ht="17.149999999999999" customHeight="1" x14ac:dyDescent="0.35">
      <c r="B36" s="244"/>
      <c r="C36" s="244"/>
      <c r="D36" s="244" t="s">
        <v>87</v>
      </c>
      <c r="E36" s="278" t="s">
        <v>32</v>
      </c>
      <c r="F36" s="244"/>
      <c r="G36" s="145">
        <v>8</v>
      </c>
      <c r="H36" s="145">
        <f>(G36+I36)/2</f>
        <v>8</v>
      </c>
      <c r="I36" s="145">
        <v>8</v>
      </c>
      <c r="J36" s="243"/>
      <c r="K36" s="260"/>
      <c r="L36" s="261"/>
      <c r="M36" s="283"/>
      <c r="N36" s="244"/>
      <c r="O36" s="244"/>
      <c r="P36" s="246"/>
    </row>
    <row r="37" spans="2:16" s="281" customFormat="1" ht="17.149999999999999" customHeight="1" x14ac:dyDescent="0.35">
      <c r="B37" s="244"/>
      <c r="C37" s="244"/>
      <c r="D37" s="244" t="s">
        <v>89</v>
      </c>
      <c r="E37" s="278" t="s">
        <v>36</v>
      </c>
      <c r="F37" s="244"/>
      <c r="G37" s="145">
        <v>22</v>
      </c>
      <c r="H37" s="145">
        <f>(G37+I37)/2</f>
        <v>22</v>
      </c>
      <c r="I37" s="145">
        <v>22</v>
      </c>
      <c r="J37" s="243"/>
      <c r="K37" s="260"/>
      <c r="L37" s="261"/>
      <c r="M37" s="283"/>
      <c r="N37" s="244"/>
      <c r="O37" s="244"/>
      <c r="P37" s="246"/>
    </row>
    <row r="38" spans="2:16" s="281" customFormat="1" ht="17.149999999999999" customHeight="1" x14ac:dyDescent="0.35">
      <c r="B38" s="244"/>
      <c r="C38" s="245">
        <v>1.9</v>
      </c>
      <c r="D38" s="277" t="s">
        <v>91</v>
      </c>
      <c r="E38" s="257"/>
      <c r="F38" s="244"/>
      <c r="G38" s="65"/>
      <c r="H38" s="65"/>
      <c r="I38" s="65"/>
      <c r="J38" s="243"/>
      <c r="K38" s="260"/>
      <c r="L38" s="261"/>
      <c r="M38" s="283"/>
      <c r="N38" s="244"/>
      <c r="O38" s="244"/>
      <c r="P38" s="246"/>
    </row>
    <row r="39" spans="2:16" s="281" customFormat="1" ht="17.149999999999999" customHeight="1" x14ac:dyDescent="0.35">
      <c r="B39" s="244"/>
      <c r="C39" s="279"/>
      <c r="D39" s="244" t="s">
        <v>93</v>
      </c>
      <c r="E39" s="278" t="s">
        <v>28</v>
      </c>
      <c r="F39" s="244"/>
      <c r="G39" s="144">
        <v>5</v>
      </c>
      <c r="H39" s="144">
        <f>(G39+I39)/2</f>
        <v>5</v>
      </c>
      <c r="I39" s="144">
        <v>5</v>
      </c>
      <c r="J39" s="243"/>
      <c r="K39" s="260"/>
      <c r="L39" s="261"/>
      <c r="M39" s="283"/>
      <c r="N39" s="244"/>
      <c r="O39" s="244"/>
      <c r="P39" s="246"/>
    </row>
    <row r="40" spans="2:16" s="281" customFormat="1" ht="17.149999999999999" customHeight="1" x14ac:dyDescent="0.35">
      <c r="B40" s="244"/>
      <c r="C40" s="244"/>
      <c r="D40" s="244" t="s">
        <v>95</v>
      </c>
      <c r="E40" s="278" t="s">
        <v>32</v>
      </c>
      <c r="F40" s="244"/>
      <c r="G40" s="145">
        <v>8</v>
      </c>
      <c r="H40" s="145">
        <f>(G40+I40)/2</f>
        <v>8</v>
      </c>
      <c r="I40" s="145">
        <v>8</v>
      </c>
      <c r="J40" s="243"/>
      <c r="K40" s="260"/>
      <c r="L40" s="261"/>
      <c r="M40" s="283"/>
      <c r="N40" s="244"/>
      <c r="O40" s="244"/>
      <c r="P40" s="246"/>
    </row>
    <row r="41" spans="2:16" s="281" customFormat="1" ht="17.149999999999999" customHeight="1" x14ac:dyDescent="0.35">
      <c r="B41" s="244"/>
      <c r="C41" s="279"/>
      <c r="D41" s="244" t="s">
        <v>97</v>
      </c>
      <c r="E41" s="278" t="s">
        <v>36</v>
      </c>
      <c r="F41" s="244"/>
      <c r="G41" s="145">
        <v>22</v>
      </c>
      <c r="H41" s="145">
        <f>(G41+I41)/2</f>
        <v>22</v>
      </c>
      <c r="I41" s="145">
        <v>22</v>
      </c>
      <c r="J41" s="243"/>
      <c r="K41" s="260"/>
      <c r="L41" s="261"/>
      <c r="M41" s="283"/>
      <c r="N41" s="244"/>
      <c r="O41" s="244"/>
      <c r="P41" s="246"/>
    </row>
    <row r="42" spans="2:16" s="281" customFormat="1" ht="17.149999999999999" customHeight="1" x14ac:dyDescent="0.35">
      <c r="B42" s="244"/>
      <c r="C42" s="280">
        <v>1.1000000000000001</v>
      </c>
      <c r="D42" s="277" t="s">
        <v>99</v>
      </c>
      <c r="E42" s="257"/>
      <c r="F42" s="244"/>
      <c r="G42" s="65"/>
      <c r="H42" s="65"/>
      <c r="I42" s="65"/>
      <c r="J42" s="243"/>
      <c r="K42" s="260"/>
      <c r="L42" s="261"/>
      <c r="M42" s="283"/>
      <c r="N42" s="244"/>
      <c r="O42" s="244"/>
      <c r="P42" s="246"/>
    </row>
    <row r="43" spans="2:16" s="281" customFormat="1" ht="17.149999999999999" customHeight="1" x14ac:dyDescent="0.35">
      <c r="B43" s="244"/>
      <c r="C43" s="257"/>
      <c r="D43" s="244" t="s">
        <v>101</v>
      </c>
      <c r="E43" s="278" t="s">
        <v>28</v>
      </c>
      <c r="F43" s="244"/>
      <c r="G43" s="144">
        <v>5</v>
      </c>
      <c r="H43" s="144">
        <f>(G43+I43)/2</f>
        <v>5</v>
      </c>
      <c r="I43" s="144">
        <v>5</v>
      </c>
      <c r="J43" s="243"/>
      <c r="K43" s="260"/>
      <c r="L43" s="261"/>
      <c r="M43" s="283"/>
      <c r="N43" s="244"/>
      <c r="O43" s="244"/>
      <c r="P43" s="246"/>
    </row>
    <row r="44" spans="2:16" s="281" customFormat="1" ht="17.149999999999999" customHeight="1" x14ac:dyDescent="0.35">
      <c r="B44" s="244"/>
      <c r="C44" s="257"/>
      <c r="D44" s="244" t="s">
        <v>103</v>
      </c>
      <c r="E44" s="278" t="s">
        <v>32</v>
      </c>
      <c r="F44" s="244"/>
      <c r="G44" s="145">
        <v>8</v>
      </c>
      <c r="H44" s="145">
        <f>(G44+I44)/2</f>
        <v>8</v>
      </c>
      <c r="I44" s="145">
        <v>8</v>
      </c>
      <c r="J44" s="243"/>
      <c r="K44" s="260"/>
      <c r="L44" s="261"/>
      <c r="M44" s="283"/>
      <c r="N44" s="244"/>
      <c r="O44" s="244"/>
      <c r="P44" s="246"/>
    </row>
    <row r="45" spans="2:16" s="281" customFormat="1" ht="17.149999999999999" customHeight="1" x14ac:dyDescent="0.35">
      <c r="B45" s="244"/>
      <c r="C45" s="257"/>
      <c r="D45" s="244" t="s">
        <v>105</v>
      </c>
      <c r="E45" s="278" t="s">
        <v>36</v>
      </c>
      <c r="F45" s="244"/>
      <c r="G45" s="145">
        <v>22</v>
      </c>
      <c r="H45" s="145">
        <f>(G45+I45)/2</f>
        <v>22</v>
      </c>
      <c r="I45" s="145">
        <v>22</v>
      </c>
      <c r="J45" s="243"/>
      <c r="K45" s="260"/>
      <c r="L45" s="261"/>
      <c r="M45" s="283"/>
      <c r="N45" s="244"/>
      <c r="O45" s="244"/>
      <c r="P45" s="246"/>
    </row>
    <row r="46" spans="2:16" s="281" customFormat="1" ht="17.149999999999999" customHeight="1" x14ac:dyDescent="0.3">
      <c r="B46" s="244"/>
      <c r="C46" s="260"/>
      <c r="D46" s="261"/>
      <c r="E46" s="245"/>
      <c r="F46" s="244"/>
      <c r="G46" s="282"/>
      <c r="H46" s="282"/>
      <c r="I46" s="282"/>
      <c r="J46" s="243"/>
      <c r="K46" s="260"/>
      <c r="L46" s="261"/>
      <c r="M46" s="283"/>
      <c r="N46" s="244"/>
      <c r="O46" s="244"/>
      <c r="P46" s="246"/>
    </row>
    <row r="47" spans="2:16" ht="17.149999999999999" customHeight="1" x14ac:dyDescent="0.3">
      <c r="B47" s="28">
        <v>2</v>
      </c>
      <c r="C47" s="109" t="s">
        <v>108</v>
      </c>
      <c r="D47" s="5"/>
      <c r="E47" s="5"/>
      <c r="F47" s="5"/>
      <c r="G47" s="9"/>
      <c r="H47" s="9"/>
      <c r="I47" s="9"/>
      <c r="J47" s="5"/>
      <c r="K47" s="104"/>
      <c r="L47" s="106"/>
      <c r="M47" s="21"/>
      <c r="N47" s="5"/>
      <c r="O47" s="5"/>
      <c r="P47" s="6"/>
    </row>
    <row r="48" spans="2:16" ht="17.149999999999999" customHeight="1" x14ac:dyDescent="0.3">
      <c r="B48" s="28"/>
      <c r="C48" s="369" t="s">
        <v>110</v>
      </c>
      <c r="D48" s="21" t="s">
        <v>22</v>
      </c>
      <c r="E48" s="83"/>
      <c r="F48" s="16"/>
      <c r="G48" s="370">
        <v>150</v>
      </c>
      <c r="H48" s="370">
        <f t="shared" ref="H48:H57" si="0">(G48+I48)/2</f>
        <v>150</v>
      </c>
      <c r="I48" s="370">
        <v>150</v>
      </c>
      <c r="J48" s="28"/>
      <c r="K48" s="106"/>
      <c r="L48" s="108"/>
      <c r="M48" s="108"/>
      <c r="N48" s="108"/>
      <c r="O48" s="16"/>
      <c r="P48" s="6"/>
    </row>
    <row r="49" spans="2:16" ht="17.149999999999999" customHeight="1" x14ac:dyDescent="0.3">
      <c r="B49" s="28"/>
      <c r="C49" s="369" t="s">
        <v>112</v>
      </c>
      <c r="D49" s="21" t="s">
        <v>26</v>
      </c>
      <c r="E49" s="83"/>
      <c r="F49" s="16"/>
      <c r="G49" s="370">
        <v>66</v>
      </c>
      <c r="H49" s="370">
        <f t="shared" si="0"/>
        <v>66</v>
      </c>
      <c r="I49" s="370">
        <v>66</v>
      </c>
      <c r="J49" s="28"/>
      <c r="K49" s="109"/>
      <c r="L49" s="5"/>
      <c r="M49" s="5"/>
      <c r="N49" s="5"/>
      <c r="O49" s="5"/>
      <c r="P49" s="105"/>
    </row>
    <row r="50" spans="2:16" ht="17.149999999999999" customHeight="1" x14ac:dyDescent="0.3">
      <c r="B50" s="28"/>
      <c r="C50" s="369" t="s">
        <v>114</v>
      </c>
      <c r="D50" s="21" t="s">
        <v>30</v>
      </c>
      <c r="E50" s="83"/>
      <c r="F50" s="16"/>
      <c r="G50" s="370">
        <v>225</v>
      </c>
      <c r="H50" s="370">
        <f t="shared" si="0"/>
        <v>225</v>
      </c>
      <c r="I50" s="370">
        <v>225</v>
      </c>
      <c r="J50" s="28"/>
      <c r="K50" s="106"/>
      <c r="L50" s="16"/>
      <c r="M50" s="5"/>
      <c r="N50" s="5"/>
      <c r="O50" s="5"/>
      <c r="P50" s="6"/>
    </row>
    <row r="51" spans="2:16" ht="17.149999999999999" customHeight="1" x14ac:dyDescent="0.3">
      <c r="B51" s="28"/>
      <c r="C51" s="369" t="s">
        <v>116</v>
      </c>
      <c r="D51" s="21" t="s">
        <v>34</v>
      </c>
      <c r="E51" s="155"/>
      <c r="F51" s="16"/>
      <c r="G51" s="370">
        <v>125</v>
      </c>
      <c r="H51" s="370">
        <f t="shared" si="0"/>
        <v>125</v>
      </c>
      <c r="I51" s="370">
        <v>125</v>
      </c>
      <c r="J51" s="28"/>
      <c r="K51" s="106"/>
      <c r="L51" s="16"/>
      <c r="M51" s="5"/>
      <c r="N51" s="5"/>
      <c r="O51" s="5"/>
      <c r="P51" s="6"/>
    </row>
    <row r="52" spans="2:16" ht="17.149999999999999" customHeight="1" x14ac:dyDescent="0.3">
      <c r="B52" s="28"/>
      <c r="C52" s="369" t="s">
        <v>119</v>
      </c>
      <c r="D52" s="21" t="s">
        <v>120</v>
      </c>
      <c r="E52" s="156"/>
      <c r="F52" s="16"/>
      <c r="G52" s="370">
        <v>100</v>
      </c>
      <c r="H52" s="370">
        <f t="shared" si="0"/>
        <v>100</v>
      </c>
      <c r="I52" s="370">
        <v>100</v>
      </c>
      <c r="J52" s="28"/>
      <c r="K52" s="106"/>
      <c r="L52" s="16"/>
      <c r="M52" s="5"/>
      <c r="N52" s="5"/>
      <c r="O52" s="5"/>
      <c r="P52" s="6"/>
    </row>
    <row r="53" spans="2:16" ht="17.149999999999999" customHeight="1" x14ac:dyDescent="0.3">
      <c r="B53" s="28"/>
      <c r="C53" s="369" t="s">
        <v>122</v>
      </c>
      <c r="D53" s="21" t="s">
        <v>39</v>
      </c>
      <c r="E53" s="156"/>
      <c r="F53" s="102"/>
      <c r="G53" s="370">
        <v>100</v>
      </c>
      <c r="H53" s="370">
        <f t="shared" si="0"/>
        <v>100</v>
      </c>
      <c r="I53" s="370">
        <v>100</v>
      </c>
      <c r="J53" s="28"/>
      <c r="K53" s="106"/>
      <c r="L53" s="16"/>
      <c r="M53" s="5"/>
      <c r="N53" s="5"/>
      <c r="O53" s="5"/>
      <c r="P53" s="6"/>
    </row>
    <row r="54" spans="2:16" ht="17.149999999999999" customHeight="1" x14ac:dyDescent="0.3">
      <c r="B54" s="28"/>
      <c r="C54" s="369" t="s">
        <v>124</v>
      </c>
      <c r="D54" s="21" t="s">
        <v>41</v>
      </c>
      <c r="E54" s="156"/>
      <c r="F54" s="102"/>
      <c r="G54" s="370">
        <v>100</v>
      </c>
      <c r="H54" s="370">
        <f t="shared" si="0"/>
        <v>100</v>
      </c>
      <c r="I54" s="370">
        <v>100</v>
      </c>
      <c r="J54" s="28"/>
      <c r="K54" s="106"/>
      <c r="L54" s="102"/>
      <c r="M54" s="5"/>
      <c r="N54" s="5"/>
      <c r="O54" s="5"/>
      <c r="P54" s="6"/>
    </row>
    <row r="55" spans="2:16" ht="17.149999999999999" customHeight="1" x14ac:dyDescent="0.3">
      <c r="B55" s="28"/>
      <c r="C55" s="369" t="s">
        <v>126</v>
      </c>
      <c r="D55" s="102" t="s">
        <v>43</v>
      </c>
      <c r="E55" s="156"/>
      <c r="F55" s="102"/>
      <c r="G55" s="370">
        <v>125</v>
      </c>
      <c r="H55" s="370">
        <f t="shared" si="0"/>
        <v>125</v>
      </c>
      <c r="I55" s="370">
        <v>125</v>
      </c>
      <c r="J55" s="28"/>
      <c r="K55" s="106"/>
      <c r="L55" s="102"/>
      <c r="M55" s="5"/>
      <c r="N55" s="5"/>
      <c r="O55" s="5"/>
      <c r="P55" s="6"/>
    </row>
    <row r="56" spans="2:16" ht="17.149999999999999" customHeight="1" x14ac:dyDescent="0.3">
      <c r="B56" s="28"/>
      <c r="C56" s="369" t="s">
        <v>128</v>
      </c>
      <c r="D56" s="102" t="s">
        <v>45</v>
      </c>
      <c r="E56" s="156"/>
      <c r="F56" s="102"/>
      <c r="G56" s="370">
        <v>55</v>
      </c>
      <c r="H56" s="370">
        <f t="shared" si="0"/>
        <v>55</v>
      </c>
      <c r="I56" s="370">
        <v>55</v>
      </c>
      <c r="J56" s="28"/>
      <c r="K56" s="106"/>
      <c r="L56" s="102"/>
      <c r="M56" s="5"/>
      <c r="N56" s="5"/>
      <c r="O56" s="5"/>
      <c r="P56" s="6"/>
    </row>
    <row r="57" spans="2:16" ht="17.149999999999999" customHeight="1" x14ac:dyDescent="0.3">
      <c r="B57" s="28"/>
      <c r="C57" s="369" t="s">
        <v>130</v>
      </c>
      <c r="D57" s="102" t="s">
        <v>47</v>
      </c>
      <c r="E57" s="156"/>
      <c r="F57" s="102"/>
      <c r="G57" s="370">
        <v>225</v>
      </c>
      <c r="H57" s="370">
        <f t="shared" si="0"/>
        <v>225</v>
      </c>
      <c r="I57" s="370">
        <v>225</v>
      </c>
      <c r="J57" s="28"/>
      <c r="K57" s="106"/>
      <c r="L57" s="102"/>
      <c r="M57" s="5"/>
      <c r="N57" s="5"/>
      <c r="O57" s="5"/>
      <c r="P57" s="6"/>
    </row>
    <row r="58" spans="2:16" s="372" customFormat="1" ht="17.149999999999999" customHeight="1" x14ac:dyDescent="0.3">
      <c r="B58" s="373"/>
      <c r="C58" s="374"/>
      <c r="D58" s="375"/>
      <c r="E58" s="376"/>
      <c r="F58" s="375"/>
      <c r="G58" s="377"/>
      <c r="H58" s="377"/>
      <c r="I58" s="377"/>
      <c r="J58" s="373"/>
      <c r="K58" s="378"/>
      <c r="L58" s="375"/>
      <c r="M58" s="379"/>
      <c r="N58" s="379"/>
      <c r="O58" s="379"/>
      <c r="P58" s="380"/>
    </row>
    <row r="59" spans="2:16" ht="17.149999999999999" customHeight="1" x14ac:dyDescent="0.3">
      <c r="B59" s="132">
        <v>2</v>
      </c>
      <c r="C59" s="113" t="s">
        <v>151</v>
      </c>
      <c r="D59" s="4"/>
      <c r="E59" s="4"/>
      <c r="F59" s="4"/>
      <c r="J59" s="28"/>
      <c r="K59" s="106"/>
      <c r="L59" s="102"/>
      <c r="M59" s="5"/>
      <c r="N59" s="5"/>
      <c r="O59" s="5"/>
      <c r="P59" s="6"/>
    </row>
    <row r="60" spans="2:16" ht="17.149999999999999" customHeight="1" x14ac:dyDescent="0.3">
      <c r="B60" s="28">
        <v>2</v>
      </c>
      <c r="C60" s="109" t="s">
        <v>414</v>
      </c>
      <c r="D60" s="4"/>
      <c r="E60" s="4"/>
      <c r="F60" s="4"/>
      <c r="G60" s="27"/>
      <c r="H60" s="27"/>
      <c r="I60" s="27"/>
      <c r="J60" s="132"/>
      <c r="K60" s="113"/>
      <c r="L60" s="4"/>
      <c r="M60" s="4"/>
      <c r="N60" s="4"/>
      <c r="O60" s="4"/>
      <c r="P60" s="76"/>
    </row>
    <row r="61" spans="2:16" ht="17.149999999999999" customHeight="1" x14ac:dyDescent="0.3">
      <c r="B61" s="28">
        <v>2</v>
      </c>
      <c r="C61" s="320" t="s">
        <v>166</v>
      </c>
      <c r="D61" s="127" t="s">
        <v>166</v>
      </c>
      <c r="E61" s="102"/>
      <c r="F61" s="5"/>
      <c r="G61" s="16"/>
      <c r="H61" s="16"/>
      <c r="J61" s="28"/>
      <c r="K61" s="146"/>
      <c r="L61" s="102"/>
      <c r="M61" s="5"/>
      <c r="N61" s="5"/>
      <c r="O61" s="5"/>
      <c r="P61" s="6"/>
    </row>
    <row r="62" spans="2:16" ht="17.149999999999999" customHeight="1" x14ac:dyDescent="0.3">
      <c r="C62" s="28"/>
      <c r="D62" s="67" t="s">
        <v>415</v>
      </c>
      <c r="E62" s="102" t="s">
        <v>173</v>
      </c>
      <c r="F62" s="5"/>
      <c r="G62" s="126">
        <v>5</v>
      </c>
      <c r="H62" s="126">
        <f>(G62+I62)/2</f>
        <v>5</v>
      </c>
      <c r="I62" s="126">
        <v>5</v>
      </c>
      <c r="J62" s="28"/>
      <c r="K62" s="104"/>
      <c r="L62" s="4"/>
      <c r="M62" s="4"/>
      <c r="N62" s="5"/>
      <c r="O62" s="5"/>
      <c r="P62" s="105"/>
    </row>
    <row r="63" spans="2:16" ht="17.149999999999999" customHeight="1" x14ac:dyDescent="0.35">
      <c r="C63" s="28"/>
      <c r="D63" s="104"/>
      <c r="E63" s="4"/>
      <c r="F63" s="4"/>
      <c r="J63" s="28"/>
      <c r="K63" s="106"/>
      <c r="L63" s="147"/>
      <c r="N63" s="148"/>
      <c r="O63" s="148"/>
      <c r="P63" s="105"/>
    </row>
    <row r="64" spans="2:16" ht="17.149999999999999" customHeight="1" x14ac:dyDescent="0.35">
      <c r="C64" s="28">
        <v>4</v>
      </c>
      <c r="D64" s="104" t="s">
        <v>416</v>
      </c>
      <c r="E64" s="4"/>
      <c r="F64" s="4"/>
      <c r="J64" s="28"/>
      <c r="K64" s="5"/>
      <c r="L64" s="5"/>
      <c r="M64" s="149"/>
      <c r="N64" s="148"/>
      <c r="O64" s="148"/>
      <c r="P64" s="6"/>
    </row>
    <row r="65" spans="2:16" ht="17.149999999999999" customHeight="1" x14ac:dyDescent="0.35">
      <c r="C65" s="28"/>
      <c r="D65" s="106">
        <v>2.2000000000000002</v>
      </c>
      <c r="E65" s="147" t="s">
        <v>417</v>
      </c>
      <c r="J65" s="28"/>
      <c r="K65" s="5"/>
      <c r="L65" s="5"/>
      <c r="M65" s="149"/>
      <c r="N65" s="148"/>
      <c r="O65" s="148"/>
      <c r="P65" s="6"/>
    </row>
    <row r="66" spans="2:16" ht="17.149999999999999" customHeight="1" x14ac:dyDescent="0.35">
      <c r="C66" s="28"/>
      <c r="D66" s="5"/>
      <c r="E66" s="5" t="s">
        <v>418</v>
      </c>
      <c r="F66" s="149" t="s">
        <v>419</v>
      </c>
      <c r="G66" s="144">
        <v>130</v>
      </c>
      <c r="H66" s="144">
        <f>(G66+I66)/2</f>
        <v>130</v>
      </c>
      <c r="I66" s="144">
        <v>130</v>
      </c>
      <c r="J66" s="5"/>
      <c r="K66" s="106"/>
      <c r="L66" s="147"/>
      <c r="N66" s="140"/>
      <c r="O66" s="148"/>
      <c r="P66" s="105"/>
    </row>
    <row r="67" spans="2:16" ht="17.149999999999999" customHeight="1" x14ac:dyDescent="0.35">
      <c r="C67" s="28"/>
      <c r="D67" s="5"/>
      <c r="E67" s="5" t="s">
        <v>420</v>
      </c>
      <c r="F67" s="149" t="s">
        <v>421</v>
      </c>
      <c r="G67" s="144">
        <v>60</v>
      </c>
      <c r="H67" s="144">
        <f>(G67+I67)/2</f>
        <v>60</v>
      </c>
      <c r="I67" s="144">
        <v>60</v>
      </c>
      <c r="J67" s="5"/>
      <c r="K67" s="5"/>
      <c r="L67" s="5"/>
      <c r="M67" s="149"/>
      <c r="N67" s="140"/>
      <c r="O67" s="148"/>
      <c r="P67" s="6"/>
    </row>
    <row r="68" spans="2:16" ht="17.149999999999999" customHeight="1" x14ac:dyDescent="0.35">
      <c r="C68" s="5"/>
      <c r="D68" s="106">
        <v>2.2999999999999998</v>
      </c>
      <c r="E68" s="147" t="s">
        <v>422</v>
      </c>
      <c r="J68" s="28"/>
      <c r="K68" s="5"/>
      <c r="L68" s="5"/>
      <c r="M68" s="149"/>
      <c r="N68" s="140"/>
      <c r="O68" s="148"/>
      <c r="P68" s="6"/>
    </row>
    <row r="69" spans="2:16" ht="17.149999999999999" customHeight="1" x14ac:dyDescent="0.35">
      <c r="C69" s="5"/>
      <c r="D69" s="5"/>
      <c r="E69" s="5" t="s">
        <v>423</v>
      </c>
      <c r="F69" s="149" t="s">
        <v>424</v>
      </c>
      <c r="G69" s="144">
        <v>130</v>
      </c>
      <c r="H69" s="144">
        <f>(G69+I69)/2</f>
        <v>130</v>
      </c>
      <c r="I69" s="144">
        <v>130</v>
      </c>
      <c r="J69" s="28"/>
    </row>
    <row r="70" spans="2:16" ht="17.149999999999999" customHeight="1" x14ac:dyDescent="0.35">
      <c r="C70" s="28"/>
      <c r="D70" s="5"/>
      <c r="E70" s="5" t="s">
        <v>425</v>
      </c>
      <c r="F70" s="149" t="s">
        <v>421</v>
      </c>
      <c r="G70" s="144">
        <v>60</v>
      </c>
      <c r="H70" s="144">
        <f>(G70+I70)/2</f>
        <v>60</v>
      </c>
      <c r="I70" s="144">
        <v>60</v>
      </c>
      <c r="J70" s="28"/>
    </row>
    <row r="71" spans="2:16" ht="17.149999999999999" customHeight="1" x14ac:dyDescent="0.3"/>
    <row r="72" spans="2:16" ht="17.149999999999999" customHeight="1" x14ac:dyDescent="0.3">
      <c r="B72" s="132">
        <v>4</v>
      </c>
      <c r="C72" s="113" t="s">
        <v>327</v>
      </c>
      <c r="D72" s="21"/>
      <c r="E72" s="21"/>
      <c r="F72" s="21"/>
    </row>
    <row r="73" spans="2:16" ht="17.149999999999999" customHeight="1" x14ac:dyDescent="0.3">
      <c r="B73" s="28">
        <v>1</v>
      </c>
      <c r="C73" s="102" t="s">
        <v>328</v>
      </c>
      <c r="D73" s="21"/>
      <c r="E73" s="21"/>
      <c r="F73" s="21"/>
      <c r="G73" s="71">
        <v>3</v>
      </c>
      <c r="H73" s="71">
        <f>(G73+I73)/2</f>
        <v>3</v>
      </c>
      <c r="I73" s="71">
        <v>3</v>
      </c>
    </row>
    <row r="74" spans="2:16" ht="17.149999999999999" customHeight="1" x14ac:dyDescent="0.3">
      <c r="B74" s="28">
        <v>2</v>
      </c>
      <c r="C74" s="112" t="s">
        <v>329</v>
      </c>
      <c r="D74" s="21"/>
      <c r="E74" s="21"/>
      <c r="F74" s="21"/>
    </row>
    <row r="75" spans="2:16" ht="17.149999999999999" customHeight="1" x14ac:dyDescent="0.3">
      <c r="B75" s="28"/>
      <c r="C75" s="102">
        <v>2.1</v>
      </c>
      <c r="D75" s="21" t="s">
        <v>330</v>
      </c>
      <c r="E75" s="21"/>
      <c r="F75" s="21"/>
      <c r="G75" s="46">
        <v>3</v>
      </c>
      <c r="H75" s="46">
        <f>(G75+I75)/2</f>
        <v>3</v>
      </c>
      <c r="I75" s="46">
        <v>3</v>
      </c>
    </row>
    <row r="76" spans="2:16" ht="18" customHeight="1" x14ac:dyDescent="0.3">
      <c r="B76" s="28"/>
      <c r="C76" s="102">
        <v>2.2000000000000002</v>
      </c>
      <c r="D76" s="21" t="s">
        <v>331</v>
      </c>
      <c r="E76" s="21"/>
      <c r="F76" s="21"/>
      <c r="G76" s="46">
        <v>6</v>
      </c>
      <c r="H76" s="46">
        <f>(G76+I76)/2</f>
        <v>6</v>
      </c>
      <c r="I76" s="46">
        <v>6</v>
      </c>
    </row>
    <row r="77" spans="2:16" ht="17.5" customHeight="1" x14ac:dyDescent="0.3">
      <c r="B77" s="28"/>
      <c r="C77" s="20"/>
      <c r="D77" s="16"/>
      <c r="E77" s="16"/>
      <c r="F77" s="16"/>
      <c r="G77" s="45"/>
      <c r="H77" s="45"/>
      <c r="I77" s="45"/>
    </row>
    <row r="78" spans="2:16" ht="17.5" customHeight="1" x14ac:dyDescent="0.3">
      <c r="B78" s="132">
        <v>5</v>
      </c>
      <c r="C78" s="113" t="s">
        <v>333</v>
      </c>
      <c r="D78" s="1"/>
      <c r="E78" s="1"/>
      <c r="F78" s="1"/>
    </row>
    <row r="79" spans="2:16" ht="20.5" customHeight="1" x14ac:dyDescent="0.3">
      <c r="B79" s="28">
        <v>4</v>
      </c>
      <c r="C79" s="103" t="s">
        <v>338</v>
      </c>
      <c r="D79" s="2"/>
      <c r="E79" s="2"/>
      <c r="F79" s="2"/>
      <c r="G79" s="46">
        <v>30</v>
      </c>
      <c r="H79" s="46">
        <f>(G79+I79)/2</f>
        <v>30</v>
      </c>
      <c r="I79" s="46">
        <v>30</v>
      </c>
    </row>
    <row r="80" spans="2:16" ht="16.5" customHeight="1" x14ac:dyDescent="0.3">
      <c r="B80" s="132">
        <v>7</v>
      </c>
      <c r="C80" s="348" t="s">
        <v>361</v>
      </c>
      <c r="D80" s="2"/>
      <c r="E80" s="2"/>
      <c r="F80" s="2"/>
      <c r="G80" s="45"/>
      <c r="H80" s="45"/>
      <c r="I80" s="45"/>
    </row>
    <row r="81" spans="2:9" ht="16.5" customHeight="1" x14ac:dyDescent="0.3">
      <c r="B81" s="349">
        <v>1</v>
      </c>
      <c r="C81" s="334" t="s">
        <v>362</v>
      </c>
      <c r="D81" s="4"/>
      <c r="E81" s="4"/>
      <c r="F81" s="4"/>
    </row>
    <row r="82" spans="2:9" ht="16.5" customHeight="1" x14ac:dyDescent="0.3">
      <c r="B82" s="28"/>
      <c r="C82" s="21" t="s">
        <v>110</v>
      </c>
      <c r="D82" s="183" t="s">
        <v>363</v>
      </c>
      <c r="E82" s="16"/>
      <c r="F82" s="16"/>
      <c r="G82" s="175">
        <v>3</v>
      </c>
      <c r="H82" s="175">
        <f>(G82+I82)/2</f>
        <v>5</v>
      </c>
      <c r="I82" s="175">
        <v>7</v>
      </c>
    </row>
    <row r="83" spans="2:9" ht="16.5" customHeight="1" x14ac:dyDescent="0.3">
      <c r="B83" s="28"/>
      <c r="C83" s="21" t="s">
        <v>112</v>
      </c>
      <c r="D83" s="183" t="s">
        <v>365</v>
      </c>
      <c r="E83" s="16"/>
      <c r="F83" s="16"/>
      <c r="G83" s="175">
        <v>2</v>
      </c>
      <c r="H83" s="175">
        <f>(G83+I83)/2</f>
        <v>5</v>
      </c>
      <c r="I83" s="175">
        <v>8</v>
      </c>
    </row>
    <row r="84" spans="2:9" ht="20" customHeight="1" x14ac:dyDescent="0.3">
      <c r="B84" s="28"/>
      <c r="C84" s="21" t="s">
        <v>114</v>
      </c>
      <c r="D84" s="183" t="s">
        <v>366</v>
      </c>
      <c r="E84" s="16"/>
      <c r="F84" s="16"/>
      <c r="G84" s="175">
        <v>1</v>
      </c>
      <c r="H84" s="175">
        <f>(G84+I84)/2</f>
        <v>3</v>
      </c>
      <c r="I84" s="175">
        <v>5</v>
      </c>
    </row>
    <row r="85" spans="2:9" ht="16.5" customHeight="1" x14ac:dyDescent="0.35">
      <c r="B85" s="22"/>
      <c r="C85" s="177"/>
      <c r="D85" s="23"/>
      <c r="E85" s="23"/>
      <c r="F85" s="23"/>
      <c r="G85" s="161"/>
      <c r="H85" s="161"/>
      <c r="I85" s="161"/>
    </row>
    <row r="86" spans="2:9" ht="16.5" customHeight="1" x14ac:dyDescent="0.3">
      <c r="B86" s="349">
        <v>2</v>
      </c>
      <c r="C86" s="334" t="s">
        <v>367</v>
      </c>
      <c r="D86" s="16"/>
      <c r="E86" s="16"/>
      <c r="F86" s="16"/>
      <c r="G86" s="161"/>
      <c r="H86" s="161"/>
      <c r="I86" s="161"/>
    </row>
    <row r="87" spans="2:9" ht="16.5" customHeight="1" x14ac:dyDescent="0.35">
      <c r="B87" s="19"/>
      <c r="C87" s="21" t="s">
        <v>179</v>
      </c>
      <c r="D87" s="190" t="s">
        <v>368</v>
      </c>
      <c r="E87" s="21"/>
      <c r="F87" s="21"/>
      <c r="G87" s="194">
        <v>1000</v>
      </c>
      <c r="H87" s="194">
        <f>(G87+I87)/2</f>
        <v>1945</v>
      </c>
      <c r="I87" s="194">
        <v>2890</v>
      </c>
    </row>
    <row r="88" spans="2:9" ht="16.5" customHeight="1" x14ac:dyDescent="0.35">
      <c r="B88" s="19"/>
      <c r="C88" s="21" t="s">
        <v>203</v>
      </c>
      <c r="D88" s="190" t="s">
        <v>369</v>
      </c>
      <c r="E88" s="21"/>
      <c r="F88" s="21"/>
      <c r="G88" s="371">
        <v>100</v>
      </c>
      <c r="H88" s="194">
        <f>(G88+I88)/2</f>
        <v>438.5</v>
      </c>
      <c r="I88" s="371">
        <v>777</v>
      </c>
    </row>
    <row r="89" spans="2:9" ht="16.5" customHeight="1" x14ac:dyDescent="0.35">
      <c r="B89" s="19"/>
      <c r="C89" s="21" t="s">
        <v>233</v>
      </c>
      <c r="D89" s="190" t="s">
        <v>371</v>
      </c>
      <c r="E89" s="21"/>
      <c r="F89" s="21"/>
      <c r="G89" s="195">
        <v>1</v>
      </c>
      <c r="H89" s="196">
        <f>(G89+I89)/2</f>
        <v>5</v>
      </c>
      <c r="I89" s="195">
        <v>9</v>
      </c>
    </row>
    <row r="90" spans="2:9" ht="18" customHeight="1" x14ac:dyDescent="0.35">
      <c r="B90" s="191"/>
      <c r="C90" s="350" t="s">
        <v>255</v>
      </c>
      <c r="D90" s="192" t="s">
        <v>372</v>
      </c>
      <c r="G90" s="371">
        <v>1</v>
      </c>
      <c r="H90" s="197">
        <f>(G90+I90)/2</f>
        <v>5</v>
      </c>
      <c r="I90" s="371">
        <v>9</v>
      </c>
    </row>
    <row r="91" spans="2:9" ht="20" customHeight="1" x14ac:dyDescent="0.35">
      <c r="B91" s="191"/>
      <c r="C91" s="350" t="s">
        <v>277</v>
      </c>
      <c r="D91" s="192" t="s">
        <v>373</v>
      </c>
      <c r="G91" s="371">
        <v>1</v>
      </c>
      <c r="H91" s="197">
        <f>(G91+I91)/2</f>
        <v>5</v>
      </c>
      <c r="I91" s="371">
        <v>9</v>
      </c>
    </row>
    <row r="92" spans="2:9" ht="16.5" customHeight="1" x14ac:dyDescent="0.25">
      <c r="B92" s="193"/>
      <c r="C92" s="193"/>
      <c r="G92" s="198"/>
      <c r="H92" s="198"/>
      <c r="I92" s="198"/>
    </row>
    <row r="93" spans="2:9" ht="16.5" customHeight="1" x14ac:dyDescent="0.25">
      <c r="B93" s="351">
        <v>3</v>
      </c>
      <c r="C93" s="346" t="s">
        <v>374</v>
      </c>
      <c r="G93" s="198"/>
      <c r="H93" s="198"/>
      <c r="I93" s="198"/>
    </row>
    <row r="94" spans="2:9" ht="16.5" customHeight="1" x14ac:dyDescent="0.35">
      <c r="B94" s="191"/>
      <c r="C94" s="350" t="s">
        <v>375</v>
      </c>
      <c r="D94" s="192" t="s">
        <v>376</v>
      </c>
      <c r="G94" s="371">
        <v>1</v>
      </c>
      <c r="H94" s="197">
        <f>(G94+I94)/2</f>
        <v>5</v>
      </c>
      <c r="I94" s="371">
        <v>9</v>
      </c>
    </row>
    <row r="95" spans="2:9" ht="16.5" customHeight="1" x14ac:dyDescent="0.35">
      <c r="B95" s="191"/>
      <c r="C95" s="350" t="s">
        <v>377</v>
      </c>
      <c r="D95" s="192" t="s">
        <v>378</v>
      </c>
      <c r="G95" s="371">
        <v>1</v>
      </c>
      <c r="H95" s="197">
        <f>(G95+I95)/2</f>
        <v>5</v>
      </c>
      <c r="I95" s="371">
        <v>9</v>
      </c>
    </row>
    <row r="96" spans="2:9" ht="16.5" customHeight="1" x14ac:dyDescent="0.35">
      <c r="B96" s="191"/>
      <c r="C96" s="350" t="s">
        <v>379</v>
      </c>
      <c r="D96" s="192" t="s">
        <v>380</v>
      </c>
      <c r="G96" s="199">
        <v>-0.06</v>
      </c>
      <c r="H96" s="200">
        <f>(G96+I96)/2</f>
        <v>0.27</v>
      </c>
      <c r="I96" s="200">
        <v>0.6</v>
      </c>
    </row>
    <row r="97" spans="2:9" ht="16.5" customHeight="1" x14ac:dyDescent="0.35">
      <c r="B97" s="191"/>
      <c r="C97" s="350" t="s">
        <v>381</v>
      </c>
      <c r="D97" s="192" t="s">
        <v>382</v>
      </c>
      <c r="G97" s="199">
        <v>-0.44</v>
      </c>
      <c r="H97" s="200">
        <f>(G97+I97)/2</f>
        <v>7.9999999999999988E-2</v>
      </c>
      <c r="I97" s="200">
        <v>0.6</v>
      </c>
    </row>
    <row r="98" spans="2:9" ht="16.5" customHeight="1" x14ac:dyDescent="0.35">
      <c r="B98" s="191"/>
      <c r="C98" s="350" t="s">
        <v>383</v>
      </c>
      <c r="D98" s="192" t="s">
        <v>384</v>
      </c>
      <c r="G98" s="199">
        <v>0.34</v>
      </c>
      <c r="H98" s="200">
        <f>(G98+I98)/2</f>
        <v>0.47</v>
      </c>
      <c r="I98" s="200">
        <v>0.6</v>
      </c>
    </row>
  </sheetData>
  <dataValidations count="1">
    <dataValidation showInputMessage="1" showErrorMessage="1" error="ספרות בלבד" sqref="G7:I9 G11:I13 G15:I17 G19:I21 G23:I25 G27:I33 G35:I37 G39:I41 G43:I46 G48:I56 G65:I66 G68:I69 H61 H72 H74:H75 H78 H81:H83 H86:H90 H93:H97" xr:uid="{00000000-0002-0000-0100-000000000000}"/>
  </dataValidations>
  <pageMargins left="0.19685039370078741" right="0.19685039370078741" top="0" bottom="0" header="0" footer="0"/>
  <pageSetup paperSize="9" scale="85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Normalize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Miki Shacham;NTAnalyze@gmail.com</dc:creator>
  <cp:lastModifiedBy>A1416</cp:lastModifiedBy>
  <cp:lastPrinted>2021-07-30T10:46:46Z</cp:lastPrinted>
  <dcterms:created xsi:type="dcterms:W3CDTF">2020-10-31T12:51:46Z</dcterms:created>
  <dcterms:modified xsi:type="dcterms:W3CDTF">2026-09-16T14:45:08Z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5373b877-94e6-4414-aa49-a49933b3367b</vt:lpwstr>
  </property>
</Properties>
</file>