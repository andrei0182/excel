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i\Desktop\Macro-N\"/>
    </mc:Choice>
  </mc:AlternateContent>
  <xr:revisionPtr revIDLastSave="0" documentId="13_ncr:1_{93259FAB-1A87-480F-B0C4-C05F5C1180B1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ain" sheetId="1" r:id="rId1"/>
    <sheet name="Normal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1" i="1" l="1"/>
  <c r="F54" i="2" l="1"/>
  <c r="F53" i="2"/>
  <c r="F52" i="2"/>
  <c r="F51" i="2"/>
  <c r="F50" i="2"/>
  <c r="F47" i="2"/>
  <c r="F46" i="2"/>
  <c r="F45" i="2"/>
  <c r="F44" i="2"/>
  <c r="F43" i="2"/>
  <c r="F40" i="2"/>
  <c r="F39" i="2"/>
  <c r="F38" i="2"/>
  <c r="F35" i="2"/>
  <c r="F32" i="2"/>
  <c r="F31" i="2"/>
  <c r="F29" i="2"/>
  <c r="F26" i="2"/>
  <c r="F23" i="2"/>
  <c r="F22" i="2"/>
  <c r="F21" i="2"/>
  <c r="F20" i="2"/>
  <c r="F19" i="2"/>
  <c r="F18" i="2"/>
  <c r="F17" i="2"/>
  <c r="F16" i="2"/>
  <c r="F15" i="2"/>
  <c r="F14" i="2"/>
  <c r="F13" i="2"/>
  <c r="F10" i="2"/>
  <c r="F9" i="2"/>
  <c r="F8" i="2"/>
  <c r="F7" i="2"/>
  <c r="F6" i="2"/>
  <c r="J170" i="1"/>
  <c r="J169" i="1"/>
  <c r="J168" i="1"/>
  <c r="J167" i="1"/>
  <c r="J166" i="1"/>
  <c r="H165" i="1"/>
  <c r="J163" i="1"/>
  <c r="J162" i="1"/>
  <c r="J161" i="1"/>
  <c r="J160" i="1"/>
  <c r="J159" i="1"/>
  <c r="H158" i="1"/>
  <c r="J156" i="1"/>
  <c r="J155" i="1"/>
  <c r="J154" i="1"/>
  <c r="H153" i="1"/>
  <c r="H152" i="1" s="1"/>
  <c r="H24" i="1" s="1"/>
  <c r="J150" i="1"/>
  <c r="J149" i="1"/>
  <c r="J148" i="1"/>
  <c r="J147" i="1"/>
  <c r="J145" i="1"/>
  <c r="J144" i="1"/>
  <c r="J143" i="1"/>
  <c r="J142" i="1"/>
  <c r="H141" i="1"/>
  <c r="H134" i="1" s="1"/>
  <c r="H20" i="1" s="1"/>
  <c r="J139" i="1"/>
  <c r="J138" i="1"/>
  <c r="J137" i="1"/>
  <c r="J136" i="1"/>
  <c r="H135" i="1"/>
  <c r="O134" i="1"/>
  <c r="J132" i="1"/>
  <c r="J131" i="1"/>
  <c r="J129" i="1"/>
  <c r="J128" i="1"/>
  <c r="H127" i="1"/>
  <c r="H18" i="1" s="1"/>
  <c r="J125" i="1"/>
  <c r="J124" i="1"/>
  <c r="J123" i="1"/>
  <c r="J121" i="1"/>
  <c r="H120" i="1"/>
  <c r="J118" i="1"/>
  <c r="H115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H90" i="1"/>
  <c r="H81" i="1" s="1"/>
  <c r="J89" i="1"/>
  <c r="J88" i="1"/>
  <c r="J87" i="1"/>
  <c r="J86" i="1"/>
  <c r="J85" i="1"/>
  <c r="J84" i="1"/>
  <c r="J83" i="1"/>
  <c r="H82" i="1"/>
  <c r="J79" i="1"/>
  <c r="J78" i="1"/>
  <c r="H78" i="1"/>
  <c r="H116" i="1" s="1"/>
  <c r="J77" i="1"/>
  <c r="H77" i="1"/>
  <c r="H76" i="1"/>
  <c r="J74" i="1"/>
  <c r="J73" i="1"/>
  <c r="J72" i="1"/>
  <c r="H71" i="1"/>
  <c r="J69" i="1"/>
  <c r="J68" i="1"/>
  <c r="J67" i="1"/>
  <c r="J66" i="1"/>
  <c r="H65" i="1"/>
  <c r="J61" i="1"/>
  <c r="J60" i="1"/>
  <c r="J59" i="1"/>
  <c r="J58" i="1"/>
  <c r="J57" i="1"/>
  <c r="J56" i="1"/>
  <c r="J55" i="1"/>
  <c r="H54" i="1"/>
  <c r="J52" i="1"/>
  <c r="J51" i="1"/>
  <c r="J50" i="1"/>
  <c r="J49" i="1"/>
  <c r="J48" i="1"/>
  <c r="J47" i="1"/>
  <c r="J46" i="1"/>
  <c r="J45" i="1"/>
  <c r="O44" i="1"/>
  <c r="J44" i="1"/>
  <c r="J43" i="1"/>
  <c r="J42" i="1"/>
  <c r="J39" i="1"/>
  <c r="J38" i="1"/>
  <c r="J37" i="1"/>
  <c r="J36" i="1"/>
  <c r="J35" i="1"/>
  <c r="H34" i="1"/>
  <c r="H32" i="1" s="1"/>
  <c r="H8" i="1" s="1"/>
  <c r="C24" i="1"/>
  <c r="C20" i="1"/>
  <c r="C18" i="1"/>
  <c r="H16" i="1"/>
  <c r="C16" i="1"/>
  <c r="C14" i="1"/>
  <c r="C10" i="1"/>
  <c r="H63" i="1" l="1"/>
  <c r="H10" i="1" l="1"/>
  <c r="H117" i="1"/>
  <c r="H114" i="1" s="1"/>
  <c r="H14" i="1" s="1"/>
  <c r="H6" i="1" l="1"/>
</calcChain>
</file>

<file path=xl/sharedStrings.xml><?xml version="1.0" encoding="utf-8"?>
<sst xmlns="http://schemas.openxmlformats.org/spreadsheetml/2006/main" count="610" uniqueCount="326">
  <si>
    <t>Ver.#1</t>
  </si>
  <si>
    <t>רשתות כלים חד-פעמיים</t>
  </si>
  <si>
    <t>חברות פעילות בתחום</t>
  </si>
  <si>
    <t>מוצרים</t>
  </si>
  <si>
    <t>החברה</t>
  </si>
  <si>
    <t>________</t>
  </si>
  <si>
    <t xml:space="preserve">מתוך </t>
  </si>
  <si>
    <t>חברות במערכת</t>
  </si>
  <si>
    <t>Website &amp; Service improvement Guide</t>
  </si>
  <si>
    <t>ככל ששטח המצולע גדול יותר - החברה איכותית יותר. 
להגדלת התרשים - עמדו עליו:</t>
  </si>
  <si>
    <t>המלצות לשיפור האתר, השירות והמותג
מהות ההמלצות לעדכון הפרמטרים הינה מקסימיזציה יחסית בהשוואה למיטבי מבין כלל אתרי תחום הפעילות ובכך לשדרג את מיקום האתר בדירוג הרייטינג הכולל והיחסי שלו</t>
  </si>
  <si>
    <t>דירוג הרייטינג היחסי הכולל</t>
  </si>
  <si>
    <t xml:space="preserve"> &gt;</t>
  </si>
  <si>
    <t>ככל שהדירוגים בעמודה גבוהים יותר - החברה איכותית יותר</t>
  </si>
  <si>
    <t>מדדים תעריפיים</t>
  </si>
  <si>
    <t>מדדים תעריפיים (כולל מע"מ)</t>
  </si>
  <si>
    <t xml:space="preserve">דירוג משוקלל מנורמל &gt;  </t>
  </si>
  <si>
    <t>1</t>
  </si>
  <si>
    <t>איזור סניף /ים</t>
  </si>
  <si>
    <t>כן=5 / לא=0</t>
  </si>
  <si>
    <t>מדגם מחירים (פריט שאינו נמכר, המחיר=999)</t>
  </si>
  <si>
    <t>&lt;</t>
  </si>
  <si>
    <t>הערות /הבהרות למשתנים</t>
  </si>
  <si>
    <t>צפון</t>
  </si>
  <si>
    <t>מחיר כוסות אספרסו</t>
  </si>
  <si>
    <t>NV</t>
  </si>
  <si>
    <t>חיפה והקריות</t>
  </si>
  <si>
    <t>מחיר כוסות שתיה קרה</t>
  </si>
  <si>
    <t>שרון</t>
  </si>
  <si>
    <t>מחיר כפות</t>
  </si>
  <si>
    <t>מרכז</t>
  </si>
  <si>
    <t>מחיר צלחות מרק</t>
  </si>
  <si>
    <t>גוש דן</t>
  </si>
  <si>
    <t>מחיר קשיות</t>
  </si>
  <si>
    <t>ירושלים</t>
  </si>
  <si>
    <t>איו"ש</t>
  </si>
  <si>
    <t>מחירי שירות /משלוח (באיזור העדר שליחות, המחיר=999)</t>
  </si>
  <si>
    <t>שפלה</t>
  </si>
  <si>
    <t>1.1</t>
  </si>
  <si>
    <t>דואר רשום</t>
  </si>
  <si>
    <t>דרום</t>
  </si>
  <si>
    <t>1.2</t>
  </si>
  <si>
    <t>אילת</t>
  </si>
  <si>
    <t>1.3</t>
  </si>
  <si>
    <t>1.4</t>
  </si>
  <si>
    <t>1.5</t>
  </si>
  <si>
    <t>1.6</t>
  </si>
  <si>
    <t>גוש-דן</t>
  </si>
  <si>
    <t>1.7</t>
  </si>
  <si>
    <t>1.8</t>
  </si>
  <si>
    <t>1.9</t>
  </si>
  <si>
    <t>1.10</t>
  </si>
  <si>
    <t>1.11</t>
  </si>
  <si>
    <t>2</t>
  </si>
  <si>
    <t>אמצעי תשלום ואשראי זמינים</t>
  </si>
  <si>
    <t>ישובי סניף /ים /שליחויות /שירות</t>
  </si>
  <si>
    <t>איזור</t>
  </si>
  <si>
    <t>העברות</t>
  </si>
  <si>
    <t>בית שאן</t>
  </si>
  <si>
    <t>פייפאל</t>
  </si>
  <si>
    <t>טבריה</t>
  </si>
  <si>
    <t>אפליקציות תשלומים</t>
  </si>
  <si>
    <t>טירת כרמל</t>
  </si>
  <si>
    <t>ביטקוין</t>
  </si>
  <si>
    <t>טמרה</t>
  </si>
  <si>
    <t>כרטיסי אשראי</t>
  </si>
  <si>
    <t>יקנעם עילית</t>
  </si>
  <si>
    <t>כרטיסי חיוב ישיר</t>
  </si>
  <si>
    <t>כרמיאל</t>
  </si>
  <si>
    <t>פריסה ל- 12 תשלומים לפחות ללא ריבית בכל אמצעי התשלום</t>
  </si>
  <si>
    <t>מגדל העמק</t>
  </si>
  <si>
    <t>מעלות- תרשיחא</t>
  </si>
  <si>
    <t>ערכיות רב-שכבתית</t>
  </si>
  <si>
    <t>נהריה</t>
  </si>
  <si>
    <t>נוף הגליל</t>
  </si>
  <si>
    <t>שקיפות וגילוי נאות</t>
  </si>
  <si>
    <t>נצרת</t>
  </si>
  <si>
    <t>מחירון מפורט מלא באתר לכל מוצר</t>
  </si>
  <si>
    <t>נשר</t>
  </si>
  <si>
    <t>כל מוצר מלווה באתר בתמונה</t>
  </si>
  <si>
    <t>סח'נין</t>
  </si>
  <si>
    <t>כל מוצר מלווה במפרט טכני מלא</t>
  </si>
  <si>
    <t>עכו</t>
  </si>
  <si>
    <t>כל המוצרים באתר מצויים במלאי</t>
  </si>
  <si>
    <t>עפולה</t>
  </si>
  <si>
    <t>עראבה</t>
  </si>
  <si>
    <t>שירות האונליין</t>
  </si>
  <si>
    <t>צפת</t>
  </si>
  <si>
    <t>כולל את מלוא מוצרי הרשת שבמכירה פיזית</t>
  </si>
  <si>
    <t>שפרעם</t>
  </si>
  <si>
    <t>מחיר הפריטים אינו עולה על המחיר ברשת הפיזית</t>
  </si>
  <si>
    <t>קריית שמונה</t>
  </si>
  <si>
    <t>זמן אספקה מירבי מובטח של הזמנת שליחות (ימי עסקים)</t>
  </si>
  <si>
    <t>חיפה</t>
  </si>
  <si>
    <t>קריית אתא</t>
  </si>
  <si>
    <t>סניפים פיזיים (לצפיה ברשימת סניפי הרשת - הקליקו על שם החברה בראש העמודה)</t>
  </si>
  <si>
    <t>קריית ביאליק</t>
  </si>
  <si>
    <t>2.1</t>
  </si>
  <si>
    <t>מספר מחוזות פריסה</t>
  </si>
  <si>
    <t>1-9</t>
  </si>
  <si>
    <t>קריית ים</t>
  </si>
  <si>
    <t>2.2</t>
  </si>
  <si>
    <t>מספר ישובי פריסה</t>
  </si>
  <si>
    <t>1-79</t>
  </si>
  <si>
    <t>קריית מוצקין</t>
  </si>
  <si>
    <t>2.3</t>
  </si>
  <si>
    <t>לכל הסניפים הפיזיים חניה זמינה וחופשית</t>
  </si>
  <si>
    <t>הוד השרון</t>
  </si>
  <si>
    <t>אום אל-פחם</t>
  </si>
  <si>
    <t>תכונות הדגמים הנמכרים וזמינים במלאי</t>
  </si>
  <si>
    <t>&lt;&lt;</t>
  </si>
  <si>
    <t>אור עקיבא</t>
  </si>
  <si>
    <t>חומרים זמינים</t>
  </si>
  <si>
    <t>באקה אל-גרבייה</t>
  </si>
  <si>
    <t>4.1.1</t>
  </si>
  <si>
    <t>נייר /קרטון</t>
  </si>
  <si>
    <t>חדרה</t>
  </si>
  <si>
    <t>4.1.2</t>
  </si>
  <si>
    <t>אלומיניום</t>
  </si>
  <si>
    <t>טייבה</t>
  </si>
  <si>
    <t>4.1.3</t>
  </si>
  <si>
    <t>פלסטיק</t>
  </si>
  <si>
    <t>טירה</t>
  </si>
  <si>
    <t>3</t>
  </si>
  <si>
    <t>4.1.4</t>
  </si>
  <si>
    <t>קרטון</t>
  </si>
  <si>
    <t>כפר יונה</t>
  </si>
  <si>
    <t>4.1.5</t>
  </si>
  <si>
    <t>כפר סבא</t>
  </si>
  <si>
    <t>4.1.6</t>
  </si>
  <si>
    <t>אל-בד</t>
  </si>
  <si>
    <t>כפר קאסם</t>
  </si>
  <si>
    <t>4.1.7</t>
  </si>
  <si>
    <t>עץ</t>
  </si>
  <si>
    <t>נתניה</t>
  </si>
  <si>
    <t>מוצרים זמינים</t>
  </si>
  <si>
    <t>קלנסווה</t>
  </si>
  <si>
    <t>4.2.1</t>
  </si>
  <si>
    <t>כוסות אספרסו</t>
  </si>
  <si>
    <t>רעננה</t>
  </si>
  <si>
    <t>4.2.2</t>
  </si>
  <si>
    <t>כוסות אלכוהול</t>
  </si>
  <si>
    <t>אלעד</t>
  </si>
  <si>
    <t>4.2.3</t>
  </si>
  <si>
    <t>כוסות שתיה חמה</t>
  </si>
  <si>
    <t>אור יהודה</t>
  </si>
  <si>
    <t>4.2.4</t>
  </si>
  <si>
    <t>כוסות שתיה קרה</t>
  </si>
  <si>
    <t>באר יעקב</t>
  </si>
  <si>
    <t>4.2.5</t>
  </si>
  <si>
    <t>כלים לקינוח אישי</t>
  </si>
  <si>
    <t>גבעת שמואל</t>
  </si>
  <si>
    <t>4.2.6</t>
  </si>
  <si>
    <t>כפות</t>
  </si>
  <si>
    <t>יהוד-מונוסון</t>
  </si>
  <si>
    <t>4</t>
  </si>
  <si>
    <t>4.2.7</t>
  </si>
  <si>
    <t>כפיות</t>
  </si>
  <si>
    <t>פתח תקווה</t>
  </si>
  <si>
    <t>4.2.8</t>
  </si>
  <si>
    <t>מגש</t>
  </si>
  <si>
    <t>קריית אונו</t>
  </si>
  <si>
    <t>4.2.9</t>
  </si>
  <si>
    <t>מזלגות</t>
  </si>
  <si>
    <t>ראש העין</t>
  </si>
  <si>
    <t>4.2.10</t>
  </si>
  <si>
    <t>מפה</t>
  </si>
  <si>
    <t>רמת השרון</t>
  </si>
  <si>
    <t>4.2.11</t>
  </si>
  <si>
    <t>מפיות</t>
  </si>
  <si>
    <t>בני ברק</t>
  </si>
  <si>
    <t>4.2.12</t>
  </si>
  <si>
    <t>סט כלים</t>
  </si>
  <si>
    <t>בת ים</t>
  </si>
  <si>
    <t>4.2.13</t>
  </si>
  <si>
    <t>סכינים</t>
  </si>
  <si>
    <t>גבעתיים</t>
  </si>
  <si>
    <t>4.2.14</t>
  </si>
  <si>
    <t>עטרות /מנג'טים</t>
  </si>
  <si>
    <t>הרצליה</t>
  </si>
  <si>
    <t>4.2.15</t>
  </si>
  <si>
    <t>צלחות</t>
  </si>
  <si>
    <t>חולון</t>
  </si>
  <si>
    <t>5</t>
  </si>
  <si>
    <t>4.2.16</t>
  </si>
  <si>
    <t>צלחות מרק</t>
  </si>
  <si>
    <t>רמת גן</t>
  </si>
  <si>
    <t>4.2.17</t>
  </si>
  <si>
    <t>צנצנות</t>
  </si>
  <si>
    <t>תל אביב-יפו</t>
  </si>
  <si>
    <t>4.2.18</t>
  </si>
  <si>
    <t>קשיות</t>
  </si>
  <si>
    <t>בית שמש</t>
  </si>
  <si>
    <t>4.2.19</t>
  </si>
  <si>
    <t>תבנית</t>
  </si>
  <si>
    <t>6</t>
  </si>
  <si>
    <t>4.2.20</t>
  </si>
  <si>
    <t>תבנית לעוגה אנגלית</t>
  </si>
  <si>
    <t>אריאל</t>
  </si>
  <si>
    <t>4.2.21</t>
  </si>
  <si>
    <t>תבנית מלבנית</t>
  </si>
  <si>
    <t>ביתר עילית</t>
  </si>
  <si>
    <t>7</t>
  </si>
  <si>
    <t>4.2.22</t>
  </si>
  <si>
    <t>תבנית עגולה</t>
  </si>
  <si>
    <t>מודיעין עילית</t>
  </si>
  <si>
    <t>מעלה אדומים</t>
  </si>
  <si>
    <t>גודל ופריסה</t>
  </si>
  <si>
    <t xml:space="preserve">דירוג משוקלל  מנורמל &gt;  </t>
  </si>
  <si>
    <t>אשדוד</t>
  </si>
  <si>
    <t>דירוג היקף הפעילות הארצית היחסית</t>
  </si>
  <si>
    <t>&gt;</t>
  </si>
  <si>
    <t>אשקלון</t>
  </si>
  <si>
    <t>דירוג היקף ישובי הפעילות</t>
  </si>
  <si>
    <t>דירוג המגוון הכללי</t>
  </si>
  <si>
    <t>יבנה</t>
  </si>
  <si>
    <t>שנת תחילת הפעילות הרשמית של החברה בתחום</t>
  </si>
  <si>
    <t>לוד</t>
  </si>
  <si>
    <t>מודיעין- מכבים- רעות</t>
  </si>
  <si>
    <t>8</t>
  </si>
  <si>
    <t>רמת שירות וממשקים</t>
  </si>
  <si>
    <t>נס ציונה</t>
  </si>
  <si>
    <t>זמן תגובה לפניות בצור קשר /תמיכה של האתר (שעות)</t>
  </si>
  <si>
    <t>קריית גת</t>
  </si>
  <si>
    <t>זמן המתנה ממוצע למענה טלפוני של המוקד</t>
  </si>
  <si>
    <t>קריית מלאכי</t>
  </si>
  <si>
    <t>בשעות הפעילות (דקות)</t>
  </si>
  <si>
    <t>ראשון לציון</t>
  </si>
  <si>
    <t>מעבר לשעות הפעילות (דקות)</t>
  </si>
  <si>
    <t>רחובות</t>
  </si>
  <si>
    <t>באתר החברה שפת /ות ממשק בנוסף לעברית</t>
  </si>
  <si>
    <t>רמלה</t>
  </si>
  <si>
    <t>אופקים</t>
  </si>
  <si>
    <t>אמינות ושקיפות</t>
  </si>
  <si>
    <t>באר שבע</t>
  </si>
  <si>
    <t>אמינות ודיוק בדיווח האתר למערכת "רייטינג"</t>
  </si>
  <si>
    <t>0-5</t>
  </si>
  <si>
    <t>דימונה</t>
  </si>
  <si>
    <t>דירוג שקיפות החברה והאתר</t>
  </si>
  <si>
    <t>נתיבות</t>
  </si>
  <si>
    <t>9</t>
  </si>
  <si>
    <t>קיום מחירון מלא ומפורט באתר האינטרנט</t>
  </si>
  <si>
    <t>ערד</t>
  </si>
  <si>
    <t>מספר המדדים הנשאבים אוטומטית מהאתר</t>
  </si>
  <si>
    <t>N</t>
  </si>
  <si>
    <t>רהט</t>
  </si>
  <si>
    <t>המדיניות אינה מתירה ואין מבוצעת מחיקה /שינוי חוות דעת משתמשים</t>
  </si>
  <si>
    <t>שדרות</t>
  </si>
  <si>
    <t>10</t>
  </si>
  <si>
    <t>סייבר ושמירת פרטיות</t>
  </si>
  <si>
    <t>שמירת פרטיות הגולשים</t>
  </si>
  <si>
    <t xml:space="preserve">דירוג משוקלל  &gt;  </t>
  </si>
  <si>
    <t>באתר אין כל תצוגה גלויה המאפשרת צפיה בפעילות כלשהי של הגולשים באתר</t>
  </si>
  <si>
    <t>אין באתר שידול גולשים לרכישת מוצר /שירות /שדרוג וכיוב'</t>
  </si>
  <si>
    <t>באתר וברשומותיו לא מבוצע ניתוח נתוני גולשים לשם דיוור /פרסום /מכירת מידע</t>
  </si>
  <si>
    <t>כל מידע אודות הגולשים אינו מועבר או נמכר לגורמים שלישיים</t>
  </si>
  <si>
    <t>אבטחת סייבר ומידע הגולשים</t>
  </si>
  <si>
    <t>החברה פועלת בהתאם ל'תורת הגנת מערך הסייבר, של מערך הסייבר הלאומי</t>
  </si>
  <si>
    <t>לחברה מנהל מידע שאינו בעל תפקיד אחר</t>
  </si>
  <si>
    <t>לאתר החברה תקן ISO 27001</t>
  </si>
  <si>
    <t xml:space="preserve">לאתר החברה תקן SOC 2 </t>
  </si>
  <si>
    <t>ססמאות משתמשים</t>
  </si>
  <si>
    <t>2.5.1</t>
  </si>
  <si>
    <t>קיום אימות דו שלבי</t>
  </si>
  <si>
    <t>2.5.2</t>
  </si>
  <si>
    <t>קיום מניעת הזנת הזנת ססמאות פשוטות</t>
  </si>
  <si>
    <t>2.5.3</t>
  </si>
  <si>
    <t>קיום חיוב תדיר להחלפת סיסמאות</t>
  </si>
  <si>
    <t>2.5.4</t>
  </si>
  <si>
    <t>קיום הגבלת מספר ניסיונות כניסה עם סיסמא שגויה</t>
  </si>
  <si>
    <t>נוכחות דיגיטלית</t>
  </si>
  <si>
    <t>ביצועי האתר - מהירות גלישה (ישראל)</t>
  </si>
  <si>
    <t>צבע תוכן ראשון (FCP) - שניות</t>
  </si>
  <si>
    <t>NVT</t>
  </si>
  <si>
    <t>שינוי פריסה מצטבר (CLS)</t>
  </si>
  <si>
    <t xml:space="preserve"> אינטראקציה לצביעה הבאה (INP) - מילישניות</t>
  </si>
  <si>
    <t>דירוג המקובלות ברשת</t>
  </si>
  <si>
    <t>פופולריות יחסית לתחום הפעילות (ישראל)</t>
  </si>
  <si>
    <t>מספר ביקורים חודשי - אלפים</t>
  </si>
  <si>
    <t>NT</t>
  </si>
  <si>
    <t>משך שהיה ממוצע באתר - דקות</t>
  </si>
  <si>
    <t>2.4</t>
  </si>
  <si>
    <t>קישורים נכנסים לאתר - Backlinks - אלפים</t>
  </si>
  <si>
    <t>2.5</t>
  </si>
  <si>
    <t>הפניות לאתר - Refferings - אלפים</t>
  </si>
  <si>
    <t>נוכחות בדיגיטל ובתקשורת</t>
  </si>
  <si>
    <t>3.1</t>
  </si>
  <si>
    <t>אזכורים ברשתות החברתיות - Engagements - אלפים</t>
  </si>
  <si>
    <t>3.2</t>
  </si>
  <si>
    <t>אזכורים בתקשורת - אלפים</t>
  </si>
  <si>
    <t>3.3</t>
  </si>
  <si>
    <t>מוניטין דיגיטלי - Digital Reputation - %</t>
  </si>
  <si>
    <t>3.4</t>
  </si>
  <si>
    <t>טרנדיות - Trends - %</t>
  </si>
  <si>
    <t>3.5</t>
  </si>
  <si>
    <t>ביקורות ודירוגים - Reviews - %</t>
  </si>
  <si>
    <t>שם + משפחה:</t>
  </si>
  <si>
    <t>אבג</t>
  </si>
  <si>
    <t>תאריך:</t>
  </si>
  <si>
    <t>dd/mm/yy</t>
  </si>
  <si>
    <t>תפקיד:</t>
  </si>
  <si>
    <t>דהו</t>
  </si>
  <si>
    <t>שעה:</t>
  </si>
  <si>
    <t>tt:tt</t>
  </si>
  <si>
    <t>אימות נתוני האתר /החברה (במותגים: המותג)</t>
  </si>
  <si>
    <t>שם אתר /חברה (/מותג):</t>
  </si>
  <si>
    <t>כתובת אינטרנט:</t>
  </si>
  <si>
    <t>כתובת אימייל:</t>
  </si>
  <si>
    <t>שעות פתיחה (לסימון סגור /אין קבלת קהל - השעה: 00:00)</t>
  </si>
  <si>
    <t>כתובת צור קשר:</t>
  </si>
  <si>
    <t>א' עד ה'</t>
  </si>
  <si>
    <t>ו'</t>
  </si>
  <si>
    <t>שבת</t>
  </si>
  <si>
    <t>מספר טלפון:</t>
  </si>
  <si>
    <t>משעה</t>
  </si>
  <si>
    <t>עד שעה</t>
  </si>
  <si>
    <t>כתובת ראשית:</t>
  </si>
  <si>
    <t>רחוב</t>
  </si>
  <si>
    <t>מספר</t>
  </si>
  <si>
    <t>ישוב</t>
  </si>
  <si>
    <t>טלפון</t>
  </si>
  <si>
    <t>פרמטרים לנירמול</t>
  </si>
  <si>
    <t>מדדים תעריפיים מירביים - לא במבצע (כולל מע"מ)</t>
  </si>
  <si>
    <t>MIN</t>
  </si>
  <si>
    <t>AVR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</si>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</sst>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₪&quot;\ #,##0.00"/>
    <numFmt numFmtId="165" formatCode="#,##0.0"/>
    <numFmt numFmtId="166" formatCode="[$₪-40D]\ #,##0.00"/>
    <numFmt numFmtId="167" formatCode="&quot;₪&quot;\ #,##0"/>
    <numFmt numFmtId="168" formatCode="[$-1000000]h:mm;@"/>
    <numFmt numFmtId="169" formatCode="[$-1010000]d/m/yy;@"/>
    <numFmt numFmtId="170" formatCode="0.0"/>
  </numFmts>
  <fonts count="80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3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u/>
      <sz val="18"/>
      <color theme="1"/>
      <name val="Arial"/>
      <family val="2"/>
    </font>
    <font>
      <sz val="9"/>
      <color theme="1"/>
      <name val="Arial"/>
      <family val="2"/>
    </font>
    <font>
      <u/>
      <sz val="13"/>
      <color theme="1"/>
      <name val="Arial"/>
      <family val="2"/>
    </font>
    <font>
      <sz val="10"/>
      <color theme="1"/>
      <name val="Arial"/>
      <family val="2"/>
    </font>
    <font>
      <b/>
      <sz val="11"/>
      <color rgb="FF000099"/>
      <name val="Arial"/>
      <family val="2"/>
    </font>
    <font>
      <sz val="11"/>
      <color rgb="FF000099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  <charset val="177"/>
      <scheme val="minor"/>
    </font>
    <font>
      <b/>
      <i/>
      <sz val="20"/>
      <color theme="1"/>
      <name val="Arial"/>
      <family val="2"/>
    </font>
    <font>
      <b/>
      <sz val="14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u/>
      <sz val="20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sz val="12"/>
      <name val="Arial"/>
      <family val="2"/>
    </font>
    <font>
      <b/>
      <i/>
      <u/>
      <sz val="20"/>
      <color theme="1"/>
      <name val="Arial"/>
      <family val="2"/>
      <scheme val="minor"/>
    </font>
    <font>
      <b/>
      <i/>
      <u/>
      <sz val="14"/>
      <color theme="1"/>
      <name val="Arial"/>
      <family val="2"/>
    </font>
    <font>
      <b/>
      <i/>
      <sz val="20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"/>
      <name val="Arial"/>
      <family val="2"/>
    </font>
    <font>
      <b/>
      <sz val="16"/>
      <color rgb="FF000099"/>
      <name val="Arial"/>
      <family val="2"/>
    </font>
    <font>
      <b/>
      <sz val="14"/>
      <color theme="5" tint="-0.249977111117893"/>
      <name val="Arial"/>
      <family val="2"/>
    </font>
    <font>
      <b/>
      <sz val="20"/>
      <color theme="1"/>
      <name val="Arial"/>
      <family val="2"/>
    </font>
    <font>
      <b/>
      <i/>
      <sz val="16"/>
      <color theme="0"/>
      <name val="Arial"/>
      <family val="2"/>
    </font>
    <font>
      <b/>
      <i/>
      <sz val="14"/>
      <color theme="0"/>
      <name val="Arial"/>
      <family val="2"/>
    </font>
    <font>
      <b/>
      <sz val="13"/>
      <color rgb="FFFF0000"/>
      <name val="Arial"/>
      <family val="2"/>
    </font>
    <font>
      <b/>
      <i/>
      <u/>
      <sz val="16"/>
      <color theme="1"/>
      <name val="Arial"/>
      <family val="2"/>
    </font>
    <font>
      <b/>
      <sz val="12"/>
      <color theme="5" tint="-0.249977111117893"/>
      <name val="Arial"/>
      <family val="2"/>
    </font>
    <font>
      <b/>
      <u/>
      <sz val="14"/>
      <color theme="1"/>
      <name val="Arial"/>
      <family val="2"/>
    </font>
    <font>
      <b/>
      <u/>
      <sz val="13"/>
      <color theme="1"/>
      <name val="Arial"/>
      <family val="2"/>
    </font>
    <font>
      <sz val="13"/>
      <name val="Arial"/>
      <family val="2"/>
    </font>
    <font>
      <sz val="12"/>
      <color theme="1"/>
      <name val="Arial"/>
      <family val="2"/>
      <scheme val="minor"/>
    </font>
    <font>
      <b/>
      <u/>
      <sz val="13"/>
      <color theme="1"/>
      <name val="Arial"/>
      <family val="2"/>
      <scheme val="minor"/>
    </font>
    <font>
      <sz val="14"/>
      <color rgb="FF000099"/>
      <name val="Arial"/>
      <family val="2"/>
    </font>
    <font>
      <sz val="11"/>
      <color theme="1"/>
      <name val="Arial"/>
      <family val="2"/>
      <scheme val="minor"/>
    </font>
    <font>
      <b/>
      <i/>
      <sz val="10"/>
      <color theme="0"/>
      <name val="Arial"/>
      <family val="2"/>
    </font>
    <font>
      <b/>
      <i/>
      <sz val="11"/>
      <color rgb="FF7030A0"/>
      <name val="Arial"/>
      <family val="2"/>
    </font>
    <font>
      <sz val="18"/>
      <color rgb="FF000099"/>
      <name val="Arial"/>
      <family val="2"/>
    </font>
    <font>
      <b/>
      <u/>
      <sz val="14"/>
      <color rgb="FF000000"/>
      <name val="Arial"/>
      <family val="2"/>
    </font>
    <font>
      <sz val="13"/>
      <color rgb="FF000000"/>
      <name val="Arial"/>
      <family val="2"/>
      <charset val="177"/>
      <scheme val="minor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A6A6A6"/>
      <name val="Arial"/>
      <family val="2"/>
    </font>
    <font>
      <b/>
      <i/>
      <u/>
      <sz val="16"/>
      <color rgb="FF000000"/>
      <name val="Arial"/>
      <family val="2"/>
    </font>
    <font>
      <sz val="10"/>
      <name val="Arial"/>
      <family val="2"/>
      <charset val="177"/>
      <scheme val="minor"/>
    </font>
    <font>
      <sz val="10"/>
      <name val="Arial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Calibri"/>
      <family val="2"/>
    </font>
    <font>
      <b/>
      <sz val="11"/>
      <name val="Arial"/>
      <family val="2"/>
    </font>
    <font>
      <b/>
      <sz val="13"/>
      <name val="Calibri"/>
      <family val="2"/>
    </font>
    <font>
      <i/>
      <u/>
      <sz val="16"/>
      <color rgb="FF000000"/>
      <name val="Arial"/>
      <family val="2"/>
    </font>
    <font>
      <i/>
      <u/>
      <sz val="16"/>
      <name val="Arial"/>
      <family val="2"/>
    </font>
    <font>
      <sz val="14"/>
      <name val="Arial"/>
      <family val="2"/>
    </font>
    <font>
      <b/>
      <sz val="15.4"/>
      <color rgb="FF000000"/>
      <name val="Arial"/>
    </font>
    <font>
      <sz val="11"/>
      <name val="Arial"/>
    </font>
    <font>
      <sz val="10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7FEB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FBC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FF8B"/>
        <bgColor indexed="64"/>
      </patternFill>
    </fill>
    <fill>
      <patternFill patternType="solid">
        <fgColor rgb="FFD1F9A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5FAB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7FEBA"/>
        <bgColor rgb="FFC7FEBA"/>
      </patternFill>
    </fill>
    <fill>
      <patternFill patternType="solid">
        <fgColor rgb="FFDEEBF6"/>
      </patternFill>
    </fill>
    <fill>
      <patternFill patternType="solid">
        <fgColor rgb="FFFFF3CB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/>
      <right/>
      <top/>
      <bottom style="dashed">
        <color rgb="FF000000"/>
      </bottom>
      <diagonal/>
    </border>
    <border>
      <left style="thin">
        <color indexed="64"/>
      </left>
      <right style="thin">
        <color auto="1"/>
      </right>
      <top style="dashed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rgb="FF000000"/>
      </top>
      <bottom style="thin">
        <color auto="1"/>
      </bottom>
      <diagonal/>
    </border>
    <border>
      <left style="dashed">
        <color rgb="FF000000"/>
      </left>
      <right style="dashed">
        <color rgb="FF000000"/>
      </right>
      <top style="medium">
        <color indexed="64"/>
      </top>
      <bottom style="dashed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32"/>
    <xf numFmtId="9" fontId="38" fillId="0" borderId="32"/>
  </cellStyleXfs>
  <cellXfs count="370">
    <xf numFmtId="0" fontId="0" fillId="0" borderId="0" xfId="0" applyBorder="1"/>
    <xf numFmtId="3" fontId="0" fillId="2" borderId="0" xfId="0" applyNumberFormat="1" applyFill="1" applyBorder="1" applyAlignment="1">
      <alignment horizontal="right" vertical="center" readingOrder="2"/>
    </xf>
    <xf numFmtId="3" fontId="0" fillId="0" borderId="0" xfId="0" applyNumberFormat="1" applyBorder="1" applyAlignment="1">
      <alignment horizontal="right" vertical="center" readingOrder="2"/>
    </xf>
    <xf numFmtId="3" fontId="4" fillId="2" borderId="0" xfId="0" applyNumberFormat="1" applyFont="1" applyFill="1" applyBorder="1" applyAlignment="1">
      <alignment horizontal="right" vertical="center" wrapText="1" readingOrder="2"/>
    </xf>
    <xf numFmtId="3" fontId="4" fillId="2" borderId="0" xfId="0" applyNumberFormat="1" applyFont="1" applyFill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right" vertical="center" readingOrder="2"/>
    </xf>
    <xf numFmtId="164" fontId="10" fillId="0" borderId="0" xfId="0" applyNumberFormat="1" applyFont="1" applyBorder="1" applyAlignment="1">
      <alignment horizontal="left" vertical="center"/>
    </xf>
    <xf numFmtId="0" fontId="4" fillId="0" borderId="0" xfId="0" applyFont="1" applyBorder="1"/>
    <xf numFmtId="165" fontId="13" fillId="2" borderId="0" xfId="0" applyNumberFormat="1" applyFont="1" applyFill="1" applyBorder="1" applyAlignment="1">
      <alignment horizontal="center" vertical="center" wrapText="1" readingOrder="2"/>
    </xf>
    <xf numFmtId="165" fontId="14" fillId="0" borderId="0" xfId="0" applyNumberFormat="1" applyFont="1" applyBorder="1" applyAlignment="1">
      <alignment horizontal="center" vertical="center" wrapText="1" readingOrder="2"/>
    </xf>
    <xf numFmtId="3" fontId="0" fillId="2" borderId="0" xfId="0" applyNumberFormat="1" applyFill="1" applyBorder="1" applyAlignment="1" applyProtection="1">
      <alignment horizontal="right" vertical="center" readingOrder="2"/>
      <protection locked="0"/>
    </xf>
    <xf numFmtId="3" fontId="1" fillId="2" borderId="0" xfId="0" applyNumberFormat="1" applyFont="1" applyFill="1" applyBorder="1" applyAlignment="1">
      <alignment horizontal="center" vertical="center" wrapText="1" readingOrder="2"/>
    </xf>
    <xf numFmtId="3" fontId="4" fillId="2" borderId="0" xfId="0" applyNumberFormat="1" applyFont="1" applyFill="1" applyBorder="1" applyAlignment="1">
      <alignment horizontal="center" vertical="center" readingOrder="2"/>
    </xf>
    <xf numFmtId="3" fontId="12" fillId="7" borderId="6" xfId="0" applyNumberFormat="1" applyFont="1" applyFill="1" applyBorder="1" applyAlignment="1">
      <alignment horizontal="center" vertical="center" readingOrder="2"/>
    </xf>
    <xf numFmtId="3" fontId="12" fillId="5" borderId="2" xfId="0" applyNumberFormat="1" applyFont="1" applyFill="1" applyBorder="1" applyAlignment="1">
      <alignment horizontal="center" vertical="center" readingOrder="2"/>
    </xf>
    <xf numFmtId="4" fontId="12" fillId="5" borderId="2" xfId="0" applyNumberFormat="1" applyFont="1" applyFill="1" applyBorder="1" applyAlignment="1">
      <alignment horizontal="center" vertical="center" readingOrder="2"/>
    </xf>
    <xf numFmtId="3" fontId="4" fillId="2" borderId="0" xfId="0" applyNumberFormat="1" applyFont="1" applyFill="1" applyBorder="1" applyAlignment="1">
      <alignment horizontal="center" vertical="center" wrapText="1" readingOrder="2"/>
    </xf>
    <xf numFmtId="3" fontId="16" fillId="0" borderId="0" xfId="0" applyNumberFormat="1" applyFont="1" applyBorder="1" applyAlignment="1">
      <alignment vertical="center" readingOrder="2"/>
    </xf>
    <xf numFmtId="3" fontId="21" fillId="2" borderId="0" xfId="0" applyNumberFormat="1" applyFont="1" applyFill="1" applyBorder="1" applyAlignment="1">
      <alignment horizontal="center" vertical="center" wrapText="1" readingOrder="2"/>
    </xf>
    <xf numFmtId="3" fontId="8" fillId="0" borderId="0" xfId="0" applyNumberFormat="1" applyFont="1" applyBorder="1" applyAlignment="1">
      <alignment horizontal="right" readingOrder="2"/>
    </xf>
    <xf numFmtId="3" fontId="6" fillId="2" borderId="0" xfId="0" applyNumberFormat="1" applyFont="1" applyFill="1" applyBorder="1" applyAlignment="1">
      <alignment horizontal="right" vertical="center" readingOrder="2"/>
    </xf>
    <xf numFmtId="3" fontId="8" fillId="0" borderId="0" xfId="0" applyNumberFormat="1" applyFont="1" applyBorder="1" applyAlignment="1">
      <alignment horizontal="left" vertical="center" readingOrder="2"/>
    </xf>
    <xf numFmtId="3" fontId="5" fillId="0" borderId="0" xfId="0" applyNumberFormat="1" applyFont="1" applyBorder="1" applyAlignment="1">
      <alignment horizontal="center" vertical="center" readingOrder="2"/>
    </xf>
    <xf numFmtId="3" fontId="6" fillId="0" borderId="0" xfId="0" applyNumberFormat="1" applyFont="1" applyBorder="1" applyAlignment="1">
      <alignment horizontal="center" readingOrder="2"/>
    </xf>
    <xf numFmtId="165" fontId="6" fillId="0" borderId="0" xfId="0" applyNumberFormat="1" applyFont="1" applyBorder="1" applyAlignment="1">
      <alignment horizontal="right" vertical="center" indent="1" readingOrder="2"/>
    </xf>
    <xf numFmtId="3" fontId="6" fillId="0" borderId="0" xfId="0" applyNumberFormat="1" applyFont="1" applyBorder="1" applyAlignment="1">
      <alignment horizontal="right" vertical="center" readingOrder="2"/>
    </xf>
    <xf numFmtId="3" fontId="5" fillId="2" borderId="0" xfId="0" applyNumberFormat="1" applyFont="1" applyFill="1" applyBorder="1" applyAlignment="1">
      <alignment horizontal="right" readingOrder="2"/>
    </xf>
    <xf numFmtId="3" fontId="6" fillId="2" borderId="0" xfId="0" applyNumberFormat="1" applyFont="1" applyFill="1" applyBorder="1" applyAlignment="1">
      <alignment horizontal="center" vertical="center" readingOrder="2"/>
    </xf>
    <xf numFmtId="165" fontId="9" fillId="0" borderId="0" xfId="0" applyNumberFormat="1" applyFont="1" applyBorder="1" applyAlignment="1">
      <alignment horizontal="right" vertical="center" readingOrder="2"/>
    </xf>
    <xf numFmtId="165" fontId="19" fillId="2" borderId="0" xfId="0" applyNumberFormat="1" applyFont="1" applyFill="1" applyBorder="1" applyAlignment="1">
      <alignment horizontal="center" vertical="center" readingOrder="2"/>
    </xf>
    <xf numFmtId="3" fontId="8" fillId="2" borderId="0" xfId="0" applyNumberFormat="1" applyFont="1" applyFill="1" applyBorder="1" applyAlignment="1">
      <alignment horizontal="center" vertical="center" readingOrder="2"/>
    </xf>
    <xf numFmtId="3" fontId="8" fillId="0" borderId="0" xfId="0" applyNumberFormat="1" applyFont="1" applyBorder="1" applyAlignment="1">
      <alignment horizontal="right" vertical="center" readingOrder="2"/>
    </xf>
    <xf numFmtId="3" fontId="5" fillId="2" borderId="0" xfId="0" applyNumberFormat="1" applyFont="1" applyFill="1" applyBorder="1" applyAlignment="1">
      <alignment horizontal="center" vertical="center" readingOrder="2"/>
    </xf>
    <xf numFmtId="3" fontId="6" fillId="0" borderId="0" xfId="0" applyNumberFormat="1" applyFont="1" applyBorder="1" applyAlignment="1">
      <alignment horizontal="center" vertical="center" readingOrder="2"/>
    </xf>
    <xf numFmtId="3" fontId="7" fillId="0" borderId="1" xfId="0" applyNumberFormat="1" applyFont="1" applyBorder="1" applyAlignment="1">
      <alignment horizontal="center" vertical="center" wrapText="1" readingOrder="2"/>
    </xf>
    <xf numFmtId="3" fontId="4" fillId="2" borderId="1" xfId="0" applyNumberFormat="1" applyFont="1" applyFill="1" applyBorder="1" applyAlignment="1">
      <alignment horizontal="right" vertical="center" wrapText="1" readingOrder="2"/>
    </xf>
    <xf numFmtId="3" fontId="7" fillId="2" borderId="1" xfId="0" applyNumberFormat="1" applyFont="1" applyFill="1" applyBorder="1" applyAlignment="1">
      <alignment horizontal="center" vertical="center" wrapText="1" readingOrder="2"/>
    </xf>
    <xf numFmtId="3" fontId="4" fillId="0" borderId="1" xfId="0" applyNumberFormat="1" applyFont="1" applyBorder="1" applyAlignment="1">
      <alignment horizontal="right" vertical="center" wrapText="1" readingOrder="2"/>
    </xf>
    <xf numFmtId="3" fontId="4" fillId="2" borderId="1" xfId="0" applyNumberFormat="1" applyFont="1" applyFill="1" applyBorder="1" applyAlignment="1">
      <alignment horizontal="right" vertical="center" readingOrder="2"/>
    </xf>
    <xf numFmtId="3" fontId="4" fillId="0" borderId="1" xfId="0" applyNumberFormat="1" applyFont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center" vertical="center" readingOrder="2"/>
    </xf>
    <xf numFmtId="4" fontId="14" fillId="2" borderId="0" xfId="0" applyNumberFormat="1" applyFont="1" applyFill="1" applyBorder="1" applyAlignment="1">
      <alignment horizontal="center" vertical="center" wrapText="1" readingOrder="2"/>
    </xf>
    <xf numFmtId="4" fontId="14" fillId="2" borderId="0" xfId="0" applyNumberFormat="1" applyFont="1" applyFill="1" applyBorder="1" applyAlignment="1">
      <alignment horizontal="center" vertical="center" readingOrder="2"/>
    </xf>
    <xf numFmtId="49" fontId="4" fillId="2" borderId="0" xfId="0" applyNumberFormat="1" applyFont="1" applyFill="1" applyBorder="1" applyAlignment="1">
      <alignment horizontal="left" vertical="center" readingOrder="2"/>
    </xf>
    <xf numFmtId="4" fontId="14" fillId="2" borderId="0" xfId="0" applyNumberFormat="1" applyFont="1" applyFill="1" applyBorder="1" applyAlignment="1">
      <alignment horizontal="left" vertical="center" readingOrder="1"/>
    </xf>
    <xf numFmtId="3" fontId="18" fillId="2" borderId="0" xfId="0" applyNumberFormat="1" applyFont="1" applyFill="1" applyBorder="1" applyAlignment="1">
      <alignment horizontal="center" vertical="center" wrapText="1" readingOrder="2"/>
    </xf>
    <xf numFmtId="3" fontId="22" fillId="2" borderId="0" xfId="0" applyNumberFormat="1" applyFont="1" applyFill="1" applyBorder="1" applyAlignment="1">
      <alignment horizontal="center" vertical="center" wrapText="1" readingOrder="2"/>
    </xf>
    <xf numFmtId="3" fontId="19" fillId="2" borderId="0" xfId="0" applyNumberFormat="1" applyFont="1" applyFill="1" applyBorder="1" applyAlignment="1">
      <alignment horizontal="center" vertical="center" wrapText="1" readingOrder="2"/>
    </xf>
    <xf numFmtId="3" fontId="20" fillId="2" borderId="0" xfId="0" applyNumberFormat="1" applyFont="1" applyFill="1" applyBorder="1" applyAlignment="1">
      <alignment horizontal="center" vertical="center" wrapText="1" readingOrder="2"/>
    </xf>
    <xf numFmtId="3" fontId="27" fillId="0" borderId="0" xfId="0" applyNumberFormat="1" applyFont="1" applyBorder="1" applyAlignment="1">
      <alignment horizontal="left" vertical="center" readingOrder="2"/>
    </xf>
    <xf numFmtId="3" fontId="28" fillId="0" borderId="0" xfId="0" applyNumberFormat="1" applyFont="1" applyBorder="1" applyAlignment="1">
      <alignment horizontal="right" vertical="center" readingOrder="2"/>
    </xf>
    <xf numFmtId="3" fontId="2" fillId="4" borderId="2" xfId="0" applyNumberFormat="1" applyFont="1" applyFill="1" applyBorder="1" applyAlignment="1">
      <alignment horizontal="center" vertical="center" readingOrder="2"/>
    </xf>
    <xf numFmtId="3" fontId="2" fillId="4" borderId="2" xfId="0" applyNumberFormat="1" applyFont="1" applyFill="1" applyBorder="1" applyAlignment="1">
      <alignment horizontal="right" vertical="center" readingOrder="2"/>
    </xf>
    <xf numFmtId="3" fontId="25" fillId="2" borderId="0" xfId="0" applyNumberFormat="1" applyFont="1" applyFill="1" applyBorder="1" applyAlignment="1">
      <alignment horizontal="center" vertical="center" readingOrder="2"/>
    </xf>
    <xf numFmtId="3" fontId="25" fillId="2" borderId="2" xfId="0" applyNumberFormat="1" applyFont="1" applyFill="1" applyBorder="1" applyAlignment="1">
      <alignment horizontal="center" vertical="center" readingOrder="2"/>
    </xf>
    <xf numFmtId="3" fontId="0" fillId="0" borderId="0" xfId="0" applyNumberFormat="1" applyBorder="1" applyAlignment="1">
      <alignment horizontal="center" vertical="center" wrapText="1" readingOrder="2"/>
    </xf>
    <xf numFmtId="3" fontId="5" fillId="2" borderId="0" xfId="0" applyNumberFormat="1" applyFont="1" applyFill="1" applyBorder="1" applyAlignment="1">
      <alignment horizontal="center" vertical="center" wrapText="1" readingOrder="2"/>
    </xf>
    <xf numFmtId="3" fontId="6" fillId="2" borderId="0" xfId="0" applyNumberFormat="1" applyFont="1" applyFill="1" applyBorder="1" applyAlignment="1">
      <alignment horizontal="center" vertical="center" wrapText="1" readingOrder="2"/>
    </xf>
    <xf numFmtId="3" fontId="29" fillId="2" borderId="0" xfId="0" applyNumberFormat="1" applyFont="1" applyFill="1" applyBorder="1" applyAlignment="1">
      <alignment horizontal="right" vertical="center" readingOrder="2"/>
    </xf>
    <xf numFmtId="3" fontId="5" fillId="0" borderId="0" xfId="0" applyNumberFormat="1" applyFont="1" applyBorder="1" applyAlignment="1">
      <alignment horizontal="center" vertical="center" wrapText="1" readingOrder="2"/>
    </xf>
    <xf numFmtId="3" fontId="17" fillId="2" borderId="0" xfId="0" applyNumberFormat="1" applyFont="1" applyFill="1" applyBorder="1" applyAlignment="1">
      <alignment horizontal="center" vertical="center" wrapText="1" readingOrder="2"/>
    </xf>
    <xf numFmtId="3" fontId="17" fillId="2" borderId="0" xfId="0" applyNumberFormat="1" applyFont="1" applyFill="1" applyBorder="1" applyAlignment="1">
      <alignment horizontal="right" vertical="center" wrapText="1" readingOrder="2"/>
    </xf>
    <xf numFmtId="3" fontId="18" fillId="0" borderId="0" xfId="0" applyNumberFormat="1" applyFont="1" applyBorder="1" applyAlignment="1">
      <alignment horizontal="center" vertical="center" readingOrder="2"/>
    </xf>
    <xf numFmtId="3" fontId="30" fillId="2" borderId="0" xfId="0" applyNumberFormat="1" applyFont="1" applyFill="1" applyBorder="1" applyAlignment="1">
      <alignment horizontal="center" vertical="center" wrapText="1" readingOrder="2"/>
    </xf>
    <xf numFmtId="3" fontId="16" fillId="2" borderId="0" xfId="0" applyNumberFormat="1" applyFont="1" applyFill="1" applyBorder="1" applyAlignment="1">
      <alignment horizontal="center" vertical="center" wrapText="1" readingOrder="2"/>
    </xf>
    <xf numFmtId="3" fontId="31" fillId="0" borderId="0" xfId="0" applyNumberFormat="1" applyFont="1" applyBorder="1" applyAlignment="1">
      <alignment horizontal="right" vertical="center" readingOrder="2"/>
    </xf>
    <xf numFmtId="165" fontId="16" fillId="3" borderId="2" xfId="0" applyNumberFormat="1" applyFont="1" applyFill="1" applyBorder="1" applyAlignment="1">
      <alignment horizontal="center" vertical="center" wrapText="1" readingOrder="2"/>
    </xf>
    <xf numFmtId="3" fontId="19" fillId="0" borderId="0" xfId="0" applyNumberFormat="1" applyFont="1" applyBorder="1" applyAlignment="1">
      <alignment vertical="center" readingOrder="2"/>
    </xf>
    <xf numFmtId="3" fontId="30" fillId="0" borderId="0" xfId="0" applyNumberFormat="1" applyFont="1" applyBorder="1" applyAlignment="1">
      <alignment horizontal="right" vertical="center" readingOrder="2"/>
    </xf>
    <xf numFmtId="3" fontId="30" fillId="2" borderId="0" xfId="0" applyNumberFormat="1" applyFont="1" applyFill="1" applyBorder="1" applyAlignment="1">
      <alignment horizontal="right" vertical="center" readingOrder="2"/>
    </xf>
    <xf numFmtId="3" fontId="31" fillId="2" borderId="0" xfId="0" applyNumberFormat="1" applyFont="1" applyFill="1" applyBorder="1" applyAlignment="1">
      <alignment horizontal="right" vertical="center" readingOrder="2"/>
    </xf>
    <xf numFmtId="165" fontId="32" fillId="2" borderId="0" xfId="0" applyNumberFormat="1" applyFont="1" applyFill="1" applyBorder="1" applyAlignment="1">
      <alignment horizontal="center" vertical="center" readingOrder="2"/>
    </xf>
    <xf numFmtId="3" fontId="8" fillId="0" borderId="0" xfId="0" applyNumberFormat="1" applyFont="1" applyBorder="1" applyAlignment="1">
      <alignment horizontal="center" vertical="center" readingOrder="2"/>
    </xf>
    <xf numFmtId="165" fontId="11" fillId="0" borderId="0" xfId="0" applyNumberFormat="1" applyFont="1" applyBorder="1" applyAlignment="1">
      <alignment horizontal="right" vertical="center" indent="1" readingOrder="2"/>
    </xf>
    <xf numFmtId="165" fontId="31" fillId="0" borderId="0" xfId="0" applyNumberFormat="1" applyFont="1" applyBorder="1" applyAlignment="1">
      <alignment horizontal="right" vertical="center" readingOrder="2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/>
    <xf numFmtId="3" fontId="12" fillId="2" borderId="0" xfId="0" applyNumberFormat="1" applyFont="1" applyFill="1" applyBorder="1" applyAlignment="1">
      <alignment vertical="center" wrapText="1" readingOrder="2"/>
    </xf>
    <xf numFmtId="3" fontId="2" fillId="0" borderId="0" xfId="0" applyNumberFormat="1" applyFont="1" applyBorder="1" applyAlignment="1">
      <alignment horizontal="right" vertical="center" readingOrder="2"/>
    </xf>
    <xf numFmtId="165" fontId="2" fillId="2" borderId="0" xfId="0" applyNumberFormat="1" applyFont="1" applyFill="1" applyBorder="1" applyAlignment="1">
      <alignment horizontal="right" vertical="center" indent="1" readingOrder="2"/>
    </xf>
    <xf numFmtId="3" fontId="5" fillId="0" borderId="0" xfId="0" applyNumberFormat="1" applyFont="1" applyBorder="1" applyAlignment="1">
      <alignment horizontal="right" vertical="center" readingOrder="2"/>
    </xf>
    <xf numFmtId="49" fontId="10" fillId="0" borderId="0" xfId="0" applyNumberFormat="1" applyFont="1" applyBorder="1" applyAlignment="1">
      <alignment horizontal="left" vertical="center"/>
    </xf>
    <xf numFmtId="165" fontId="11" fillId="2" borderId="0" xfId="0" applyNumberFormat="1" applyFont="1" applyFill="1" applyBorder="1" applyAlignment="1">
      <alignment horizontal="right" vertical="center" indent="1" readingOrder="2"/>
    </xf>
    <xf numFmtId="3" fontId="5" fillId="0" borderId="3" xfId="0" applyNumberFormat="1" applyFont="1" applyBorder="1" applyAlignment="1">
      <alignment horizontal="center" vertical="center" readingOrder="2"/>
    </xf>
    <xf numFmtId="165" fontId="25" fillId="2" borderId="2" xfId="0" applyNumberFormat="1" applyFont="1" applyFill="1" applyBorder="1" applyAlignment="1">
      <alignment horizontal="center" vertical="center" readingOrder="2"/>
    </xf>
    <xf numFmtId="165" fontId="5" fillId="6" borderId="2" xfId="0" applyNumberFormat="1" applyFont="1" applyFill="1" applyBorder="1" applyAlignment="1">
      <alignment horizontal="center" vertical="center" readingOrder="2"/>
    </xf>
    <xf numFmtId="3" fontId="8" fillId="2" borderId="0" xfId="0" applyNumberFormat="1" applyFont="1" applyFill="1" applyBorder="1" applyAlignment="1">
      <alignment horizontal="left" vertical="center" readingOrder="2"/>
    </xf>
    <xf numFmtId="3" fontId="37" fillId="0" borderId="0" xfId="0" applyNumberFormat="1" applyFont="1" applyBorder="1" applyAlignment="1">
      <alignment horizontal="right" vertical="center" readingOrder="2"/>
    </xf>
    <xf numFmtId="165" fontId="19" fillId="3" borderId="5" xfId="0" applyNumberFormat="1" applyFont="1" applyFill="1" applyBorder="1" applyAlignment="1">
      <alignment horizontal="center" vertical="center" wrapText="1" readingOrder="2"/>
    </xf>
    <xf numFmtId="3" fontId="19" fillId="0" borderId="0" xfId="0" applyNumberFormat="1" applyFont="1" applyBorder="1" applyAlignment="1">
      <alignment horizontal="center" vertical="center" readingOrder="2"/>
    </xf>
    <xf numFmtId="3" fontId="17" fillId="0" borderId="0" xfId="0" applyNumberFormat="1" applyFont="1" applyBorder="1" applyAlignment="1">
      <alignment horizontal="right" vertical="center" readingOrder="2"/>
    </xf>
    <xf numFmtId="3" fontId="17" fillId="2" borderId="0" xfId="0" applyNumberFormat="1" applyFont="1" applyFill="1" applyBorder="1" applyAlignment="1">
      <alignment horizontal="right" vertical="center" readingOrder="2"/>
    </xf>
    <xf numFmtId="3" fontId="37" fillId="2" borderId="0" xfId="0" applyNumberFormat="1" applyFont="1" applyFill="1" applyBorder="1" applyAlignment="1">
      <alignment horizontal="right" vertical="center" readingOrder="2"/>
    </xf>
    <xf numFmtId="3" fontId="16" fillId="2" borderId="0" xfId="0" applyNumberFormat="1" applyFont="1" applyFill="1" applyBorder="1" applyAlignment="1">
      <alignment horizontal="right" vertical="center" readingOrder="2"/>
    </xf>
    <xf numFmtId="49" fontId="10" fillId="2" borderId="0" xfId="0" applyNumberFormat="1" applyFont="1" applyFill="1" applyBorder="1" applyAlignment="1">
      <alignment horizontal="left" vertical="center" readingOrder="2"/>
    </xf>
    <xf numFmtId="164" fontId="10" fillId="0" borderId="0" xfId="0" applyNumberFormat="1" applyFont="1" applyBorder="1" applyAlignment="1">
      <alignment horizontal="right" vertical="center"/>
    </xf>
    <xf numFmtId="165" fontId="15" fillId="2" borderId="0" xfId="0" applyNumberFormat="1" applyFont="1" applyFill="1" applyBorder="1" applyAlignment="1">
      <alignment vertical="center" readingOrder="2"/>
    </xf>
    <xf numFmtId="9" fontId="5" fillId="2" borderId="0" xfId="1" applyFont="1" applyFill="1" applyBorder="1" applyAlignment="1">
      <alignment horizontal="center" vertical="center" readingOrder="2"/>
    </xf>
    <xf numFmtId="165" fontId="39" fillId="0" borderId="0" xfId="0" applyNumberFormat="1" applyFont="1" applyBorder="1" applyAlignment="1">
      <alignment horizontal="right" vertical="center" indent="1" readingOrder="2"/>
    </xf>
    <xf numFmtId="49" fontId="4" fillId="2" borderId="0" xfId="0" applyNumberFormat="1" applyFont="1" applyFill="1" applyBorder="1" applyAlignment="1">
      <alignment horizontal="right" vertical="center" readingOrder="2"/>
    </xf>
    <xf numFmtId="3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3" fontId="24" fillId="2" borderId="0" xfId="0" applyNumberFormat="1" applyFont="1" applyFill="1" applyBorder="1" applyAlignment="1">
      <alignment vertical="center" readingOrder="2"/>
    </xf>
    <xf numFmtId="3" fontId="18" fillId="0" borderId="0" xfId="0" applyNumberFormat="1" applyFont="1" applyBorder="1" applyAlignment="1">
      <alignment vertical="center" wrapText="1" readingOrder="2"/>
    </xf>
    <xf numFmtId="0" fontId="0" fillId="0" borderId="0" xfId="0" applyBorder="1" applyAlignment="1">
      <alignment horizontal="center"/>
    </xf>
    <xf numFmtId="164" fontId="5" fillId="9" borderId="2" xfId="0" applyNumberFormat="1" applyFont="1" applyFill="1" applyBorder="1" applyAlignment="1">
      <alignment horizontal="center"/>
    </xf>
    <xf numFmtId="3" fontId="41" fillId="0" borderId="0" xfId="0" applyNumberFormat="1" applyFont="1" applyBorder="1" applyAlignment="1">
      <alignment wrapText="1" readingOrder="2"/>
    </xf>
    <xf numFmtId="165" fontId="23" fillId="2" borderId="0" xfId="0" applyNumberFormat="1" applyFont="1" applyFill="1" applyBorder="1" applyAlignment="1">
      <alignment vertical="center" readingOrder="2"/>
    </xf>
    <xf numFmtId="3" fontId="26" fillId="2" borderId="0" xfId="0" applyNumberFormat="1" applyFont="1" applyFill="1" applyBorder="1" applyAlignment="1">
      <alignment horizontal="center" vertical="center" readingOrder="2"/>
    </xf>
    <xf numFmtId="3" fontId="0" fillId="0" borderId="0" xfId="0" applyNumberFormat="1" applyBorder="1" applyAlignment="1">
      <alignment horizontal="center" vertical="center" readingOrder="2"/>
    </xf>
    <xf numFmtId="3" fontId="35" fillId="8" borderId="0" xfId="0" applyNumberFormat="1" applyFont="1" applyFill="1" applyBorder="1" applyAlignment="1">
      <alignment vertical="center" readingOrder="2"/>
    </xf>
    <xf numFmtId="3" fontId="36" fillId="8" borderId="0" xfId="0" applyNumberFormat="1" applyFont="1" applyFill="1" applyBorder="1" applyAlignment="1">
      <alignment vertical="center" readingOrder="2"/>
    </xf>
    <xf numFmtId="3" fontId="36" fillId="8" borderId="10" xfId="0" applyNumberFormat="1" applyFont="1" applyFill="1" applyBorder="1" applyAlignment="1">
      <alignment horizontal="center" vertical="center" readingOrder="2"/>
    </xf>
    <xf numFmtId="49" fontId="43" fillId="8" borderId="0" xfId="0" applyNumberFormat="1" applyFont="1" applyFill="1" applyBorder="1" applyAlignment="1">
      <alignment vertical="center" readingOrder="2"/>
    </xf>
    <xf numFmtId="49" fontId="44" fillId="8" borderId="0" xfId="0" applyNumberFormat="1" applyFont="1" applyFill="1" applyBorder="1" applyAlignment="1">
      <alignment horizontal="right" vertical="center" readingOrder="2"/>
    </xf>
    <xf numFmtId="3" fontId="44" fillId="8" borderId="0" xfId="0" applyNumberFormat="1" applyFont="1" applyFill="1" applyBorder="1" applyAlignment="1">
      <alignment horizontal="left" vertical="center" readingOrder="2"/>
    </xf>
    <xf numFmtId="3" fontId="44" fillId="8" borderId="0" xfId="0" applyNumberFormat="1" applyFont="1" applyFill="1" applyBorder="1" applyAlignment="1">
      <alignment horizontal="center" vertical="center" readingOrder="2"/>
    </xf>
    <xf numFmtId="3" fontId="36" fillId="8" borderId="11" xfId="0" applyNumberFormat="1" applyFont="1" applyFill="1" applyBorder="1" applyAlignment="1">
      <alignment horizontal="center" vertical="center" readingOrder="2"/>
    </xf>
    <xf numFmtId="3" fontId="44" fillId="8" borderId="0" xfId="0" applyNumberFormat="1" applyFont="1" applyFill="1" applyBorder="1" applyAlignment="1">
      <alignment vertical="center" readingOrder="2"/>
    </xf>
    <xf numFmtId="165" fontId="6" fillId="0" borderId="0" xfId="0" applyNumberFormat="1" applyFont="1" applyBorder="1" applyAlignment="1">
      <alignment horizontal="right" vertical="center" readingOrder="2"/>
    </xf>
    <xf numFmtId="165" fontId="21" fillId="0" borderId="0" xfId="0" applyNumberFormat="1" applyFont="1" applyBorder="1" applyAlignment="1">
      <alignment horizontal="right" vertical="center" readingOrder="2"/>
    </xf>
    <xf numFmtId="165" fontId="45" fillId="0" borderId="0" xfId="0" applyNumberFormat="1" applyFont="1" applyBorder="1" applyAlignment="1">
      <alignment horizontal="right" vertical="center" readingOrder="2"/>
    </xf>
    <xf numFmtId="164" fontId="5" fillId="2" borderId="2" xfId="0" applyNumberFormat="1" applyFont="1" applyFill="1" applyBorder="1" applyAlignment="1">
      <alignment horizontal="center"/>
    </xf>
    <xf numFmtId="3" fontId="46" fillId="0" borderId="0" xfId="0" applyNumberFormat="1" applyFont="1" applyBorder="1" applyAlignment="1">
      <alignment readingOrder="2"/>
    </xf>
    <xf numFmtId="3" fontId="42" fillId="0" borderId="0" xfId="0" applyNumberFormat="1" applyFont="1" applyBorder="1" applyAlignment="1">
      <alignment horizontal="center" vertical="center" wrapText="1" readingOrder="2"/>
    </xf>
    <xf numFmtId="3" fontId="5" fillId="2" borderId="0" xfId="0" applyNumberFormat="1" applyFont="1" applyFill="1" applyBorder="1" applyAlignment="1">
      <alignment horizontal="left" vertical="center" wrapText="1" readingOrder="2"/>
    </xf>
    <xf numFmtId="3" fontId="47" fillId="0" borderId="0" xfId="0" applyNumberFormat="1" applyFont="1" applyBorder="1" applyAlignment="1">
      <alignment horizontal="left" vertical="center" wrapText="1" readingOrder="2"/>
    </xf>
    <xf numFmtId="165" fontId="48" fillId="0" borderId="0" xfId="0" applyNumberFormat="1" applyFont="1" applyBorder="1" applyAlignment="1">
      <alignment horizontal="right" vertical="center" readingOrder="2"/>
    </xf>
    <xf numFmtId="165" fontId="5" fillId="0" borderId="0" xfId="0" applyNumberFormat="1" applyFont="1" applyBorder="1" applyAlignment="1">
      <alignment horizontal="right" vertical="center" readingOrder="2"/>
    </xf>
    <xf numFmtId="165" fontId="49" fillId="0" borderId="0" xfId="0" applyNumberFormat="1" applyFont="1" applyBorder="1" applyAlignment="1">
      <alignment vertical="center" readingOrder="2"/>
    </xf>
    <xf numFmtId="164" fontId="18" fillId="0" borderId="0" xfId="0" applyNumberFormat="1" applyFont="1" applyBorder="1" applyAlignment="1">
      <alignment horizontal="left" vertical="center"/>
    </xf>
    <xf numFmtId="165" fontId="18" fillId="2" borderId="7" xfId="0" applyNumberFormat="1" applyFont="1" applyFill="1" applyBorder="1" applyAlignment="1">
      <alignment horizontal="center" vertical="center" readingOrder="2"/>
    </xf>
    <xf numFmtId="3" fontId="5" fillId="7" borderId="2" xfId="0" applyNumberFormat="1" applyFont="1" applyFill="1" applyBorder="1" applyAlignment="1">
      <alignment horizontal="center" vertical="center" readingOrder="2"/>
    </xf>
    <xf numFmtId="3" fontId="46" fillId="0" borderId="0" xfId="0" applyNumberFormat="1" applyFont="1" applyBorder="1" applyAlignment="1">
      <alignment vertical="center" readingOrder="2"/>
    </xf>
    <xf numFmtId="165" fontId="8" fillId="2" borderId="7" xfId="0" applyNumberFormat="1" applyFont="1" applyFill="1" applyBorder="1" applyAlignment="1">
      <alignment horizontal="center" vertical="center" readingOrder="2"/>
    </xf>
    <xf numFmtId="3" fontId="12" fillId="7" borderId="2" xfId="0" applyNumberFormat="1" applyFont="1" applyFill="1" applyBorder="1" applyAlignment="1">
      <alignment horizontal="center" vertical="center" readingOrder="2"/>
    </xf>
    <xf numFmtId="3" fontId="5" fillId="7" borderId="9" xfId="0" applyNumberFormat="1" applyFont="1" applyFill="1" applyBorder="1" applyAlignment="1">
      <alignment horizontal="center" vertical="center" readingOrder="2"/>
    </xf>
    <xf numFmtId="3" fontId="5" fillId="7" borderId="12" xfId="0" applyNumberFormat="1" applyFont="1" applyFill="1" applyBorder="1" applyAlignment="1" applyProtection="1">
      <alignment horizontal="center" vertical="center" readingOrder="2"/>
      <protection locked="0"/>
    </xf>
    <xf numFmtId="0" fontId="52" fillId="0" borderId="0" xfId="0" applyFont="1" applyBorder="1" applyAlignment="1">
      <alignment horizontal="right"/>
    </xf>
    <xf numFmtId="165" fontId="5" fillId="0" borderId="0" xfId="0" applyNumberFormat="1" applyFont="1" applyBorder="1" applyAlignment="1">
      <alignment horizontal="right" vertical="top" readingOrder="2"/>
    </xf>
    <xf numFmtId="165" fontId="28" fillId="0" borderId="0" xfId="0" applyNumberFormat="1" applyFont="1" applyBorder="1" applyAlignment="1">
      <alignment horizontal="right" vertical="center" readingOrder="2"/>
    </xf>
    <xf numFmtId="165" fontId="18" fillId="10" borderId="7" xfId="0" applyNumberFormat="1" applyFont="1" applyFill="1" applyBorder="1" applyAlignment="1">
      <alignment horizontal="center" vertical="center" readingOrder="2"/>
    </xf>
    <xf numFmtId="164" fontId="18" fillId="0" borderId="0" xfId="0" applyNumberFormat="1" applyFont="1" applyBorder="1" applyAlignment="1">
      <alignment horizontal="left" vertical="center" readingOrder="2"/>
    </xf>
    <xf numFmtId="165" fontId="32" fillId="2" borderId="8" xfId="0" applyNumberFormat="1" applyFont="1" applyFill="1" applyBorder="1" applyAlignment="1">
      <alignment horizontal="center" vertical="center" readingOrder="1"/>
    </xf>
    <xf numFmtId="165" fontId="5" fillId="2" borderId="2" xfId="0" applyNumberFormat="1" applyFont="1" applyFill="1" applyBorder="1" applyAlignment="1">
      <alignment horizontal="center" vertical="center" readingOrder="2"/>
    </xf>
    <xf numFmtId="3" fontId="18" fillId="2" borderId="0" xfId="0" applyNumberFormat="1" applyFont="1" applyFill="1" applyBorder="1" applyAlignment="1">
      <alignment horizontal="right" vertical="center" readingOrder="2"/>
    </xf>
    <xf numFmtId="165" fontId="5" fillId="2" borderId="7" xfId="0" applyNumberFormat="1" applyFont="1" applyFill="1" applyBorder="1" applyAlignment="1">
      <alignment horizontal="center" vertical="center" wrapText="1" readingOrder="1"/>
    </xf>
    <xf numFmtId="0" fontId="54" fillId="0" borderId="0" xfId="0" applyFont="1" applyBorder="1"/>
    <xf numFmtId="3" fontId="55" fillId="8" borderId="0" xfId="0" applyNumberFormat="1" applyFont="1" applyFill="1" applyBorder="1" applyAlignment="1">
      <alignment horizontal="center" vertical="center" readingOrder="2"/>
    </xf>
    <xf numFmtId="3" fontId="18" fillId="2" borderId="0" xfId="0" applyNumberFormat="1" applyFont="1" applyFill="1" applyBorder="1" applyAlignment="1">
      <alignment horizontal="center" vertical="center" readingOrder="2"/>
    </xf>
    <xf numFmtId="3" fontId="56" fillId="8" borderId="0" xfId="0" applyNumberFormat="1" applyFont="1" applyFill="1" applyBorder="1" applyAlignment="1">
      <alignment horizontal="center" vertical="center" readingOrder="2"/>
    </xf>
    <xf numFmtId="165" fontId="11" fillId="0" borderId="0" xfId="0" applyNumberFormat="1" applyFont="1" applyBorder="1" applyAlignment="1">
      <alignment horizontal="right" vertical="center" readingOrder="2"/>
    </xf>
    <xf numFmtId="3" fontId="27" fillId="0" borderId="0" xfId="0" applyNumberFormat="1" applyFont="1" applyBorder="1" applyAlignment="1" applyProtection="1">
      <alignment horizontal="left" vertical="center" readingOrder="2"/>
      <protection hidden="1"/>
    </xf>
    <xf numFmtId="3" fontId="25" fillId="2" borderId="0" xfId="0" applyNumberFormat="1" applyFont="1" applyFill="1" applyBorder="1" applyAlignment="1" applyProtection="1">
      <alignment vertical="center" wrapText="1" readingOrder="2"/>
      <protection hidden="1"/>
    </xf>
    <xf numFmtId="3" fontId="0" fillId="0" borderId="0" xfId="0" applyNumberFormat="1" applyBorder="1" applyAlignment="1" applyProtection="1">
      <alignment horizontal="left" vertical="center" readingOrder="2"/>
      <protection hidden="1"/>
    </xf>
    <xf numFmtId="165" fontId="37" fillId="2" borderId="0" xfId="0" applyNumberFormat="1" applyFont="1" applyFill="1" applyBorder="1" applyAlignment="1">
      <alignment horizontal="center" vertical="center" readingOrder="2"/>
    </xf>
    <xf numFmtId="165" fontId="21" fillId="2" borderId="0" xfId="0" applyNumberFormat="1" applyFont="1" applyFill="1" applyBorder="1" applyAlignment="1">
      <alignment horizontal="center" vertical="top" wrapText="1" readingOrder="2"/>
    </xf>
    <xf numFmtId="4" fontId="53" fillId="2" borderId="0" xfId="0" applyNumberFormat="1" applyFont="1" applyFill="1" applyBorder="1" applyAlignment="1">
      <alignment horizontal="center" vertical="center" wrapText="1" readingOrder="2"/>
    </xf>
    <xf numFmtId="165" fontId="57" fillId="2" borderId="0" xfId="0" applyNumberFormat="1" applyFont="1" applyFill="1" applyBorder="1" applyAlignment="1">
      <alignment horizontal="center" vertical="center" readingOrder="1"/>
    </xf>
    <xf numFmtId="165" fontId="53" fillId="2" borderId="0" xfId="0" applyNumberFormat="1" applyFont="1" applyFill="1" applyBorder="1" applyAlignment="1">
      <alignment horizontal="center" vertical="center" readingOrder="1"/>
    </xf>
    <xf numFmtId="4" fontId="53" fillId="2" borderId="0" xfId="0" applyNumberFormat="1" applyFont="1" applyFill="1" applyBorder="1" applyAlignment="1">
      <alignment horizontal="center" vertical="center" readingOrder="1"/>
    </xf>
    <xf numFmtId="4" fontId="14" fillId="2" borderId="0" xfId="0" applyNumberFormat="1" applyFont="1" applyFill="1" applyBorder="1" applyAlignment="1">
      <alignment horizontal="center" vertical="center" readingOrder="1"/>
    </xf>
    <xf numFmtId="165" fontId="4" fillId="2" borderId="0" xfId="0" applyNumberFormat="1" applyFont="1" applyFill="1" applyBorder="1" applyAlignment="1">
      <alignment horizontal="right" vertical="center" wrapText="1" readingOrder="2"/>
    </xf>
    <xf numFmtId="4" fontId="4" fillId="2" borderId="2" xfId="0" applyNumberFormat="1" applyFont="1" applyFill="1" applyBorder="1" applyAlignment="1">
      <alignment horizontal="center" vertical="center" readingOrder="2"/>
    </xf>
    <xf numFmtId="0" fontId="48" fillId="0" borderId="0" xfId="0" applyFont="1" applyBorder="1" applyAlignment="1">
      <alignment horizontal="right" vertical="center"/>
    </xf>
    <xf numFmtId="0" fontId="2" fillId="0" borderId="0" xfId="0" applyFont="1" applyBorder="1"/>
    <xf numFmtId="0" fontId="6" fillId="0" borderId="0" xfId="0" applyFont="1" applyBorder="1"/>
    <xf numFmtId="0" fontId="58" fillId="0" borderId="0" xfId="0" applyFont="1" applyBorder="1" applyAlignment="1">
      <alignment horizontal="center" vertical="center" readingOrder="2"/>
    </xf>
    <xf numFmtId="0" fontId="59" fillId="0" borderId="0" xfId="0" applyFont="1" applyBorder="1" applyAlignment="1">
      <alignment readingOrder="1"/>
    </xf>
    <xf numFmtId="0" fontId="60" fillId="0" borderId="0" xfId="0" applyFont="1" applyBorder="1" applyAlignment="1">
      <alignment readingOrder="1"/>
    </xf>
    <xf numFmtId="3" fontId="61" fillId="0" borderId="0" xfId="0" applyNumberFormat="1" applyFont="1" applyBorder="1" applyAlignment="1">
      <alignment horizontal="right" vertical="center" readingOrder="2"/>
    </xf>
    <xf numFmtId="3" fontId="62" fillId="0" borderId="0" xfId="0" applyNumberFormat="1" applyFont="1" applyBorder="1" applyAlignment="1">
      <alignment horizontal="center" vertical="center" readingOrder="2"/>
    </xf>
    <xf numFmtId="0" fontId="60" fillId="0" borderId="0" xfId="0" applyFont="1" applyBorder="1" applyAlignment="1">
      <alignment horizontal="left" readingOrder="2"/>
    </xf>
    <xf numFmtId="3" fontId="61" fillId="13" borderId="0" xfId="0" applyNumberFormat="1" applyFont="1" applyFill="1" applyBorder="1" applyAlignment="1">
      <alignment horizontal="right" vertical="center" readingOrder="2"/>
    </xf>
    <xf numFmtId="3" fontId="61" fillId="0" borderId="0" xfId="0" applyNumberFormat="1" applyFont="1" applyBorder="1" applyAlignment="1">
      <alignment horizontal="center" vertical="center" readingOrder="2"/>
    </xf>
    <xf numFmtId="3" fontId="60" fillId="13" borderId="0" xfId="0" applyNumberFormat="1" applyFont="1" applyFill="1" applyBorder="1" applyAlignment="1">
      <alignment horizontal="right" vertical="center" readingOrder="2"/>
    </xf>
    <xf numFmtId="3" fontId="61" fillId="14" borderId="6" xfId="0" applyNumberFormat="1" applyFont="1" applyFill="1" applyBorder="1" applyAlignment="1">
      <alignment horizontal="left" vertical="center" readingOrder="2"/>
    </xf>
    <xf numFmtId="3" fontId="61" fillId="14" borderId="6" xfId="0" applyNumberFormat="1" applyFont="1" applyFill="1" applyBorder="1" applyAlignment="1">
      <alignment horizontal="right" vertical="center" readingOrder="2"/>
    </xf>
    <xf numFmtId="0" fontId="64" fillId="12" borderId="14" xfId="0" applyFont="1" applyFill="1" applyBorder="1" applyAlignment="1">
      <alignment readingOrder="1"/>
    </xf>
    <xf numFmtId="3" fontId="64" fillId="12" borderId="13" xfId="0" applyNumberFormat="1" applyFont="1" applyFill="1" applyBorder="1" applyAlignment="1">
      <alignment horizontal="right" readingOrder="2"/>
    </xf>
    <xf numFmtId="3" fontId="5" fillId="6" borderId="2" xfId="0" applyNumberFormat="1" applyFont="1" applyFill="1" applyBorder="1" applyAlignment="1">
      <alignment horizontal="center" vertical="center" readingOrder="2"/>
    </xf>
    <xf numFmtId="3" fontId="65" fillId="0" borderId="0" xfId="0" applyNumberFormat="1" applyFont="1" applyBorder="1" applyAlignment="1">
      <alignment vertical="center" readingOrder="2"/>
    </xf>
    <xf numFmtId="165" fontId="60" fillId="0" borderId="0" xfId="0" applyNumberFormat="1" applyFont="1" applyBorder="1" applyAlignment="1">
      <alignment horizontal="right" vertical="center" readingOrder="2"/>
    </xf>
    <xf numFmtId="3" fontId="50" fillId="0" borderId="0" xfId="0" applyNumberFormat="1" applyFont="1" applyBorder="1" applyAlignment="1">
      <alignment horizontal="center" readingOrder="2"/>
    </xf>
    <xf numFmtId="165" fontId="50" fillId="0" borderId="0" xfId="0" applyNumberFormat="1" applyFont="1" applyBorder="1" applyAlignment="1">
      <alignment horizontal="right" vertical="center" readingOrder="2"/>
    </xf>
    <xf numFmtId="0" fontId="66" fillId="0" borderId="0" xfId="0" applyFont="1" applyBorder="1"/>
    <xf numFmtId="3" fontId="12" fillId="0" borderId="0" xfId="0" applyNumberFormat="1" applyFont="1" applyBorder="1" applyAlignment="1">
      <alignment horizontal="center" vertical="center" readingOrder="1"/>
    </xf>
    <xf numFmtId="3" fontId="6" fillId="4" borderId="2" xfId="0" applyNumberFormat="1" applyFont="1" applyFill="1" applyBorder="1" applyAlignment="1">
      <alignment horizontal="right" vertical="center" readingOrder="2"/>
    </xf>
    <xf numFmtId="3" fontId="12" fillId="0" borderId="0" xfId="0" applyNumberFormat="1" applyFont="1" applyBorder="1" applyAlignment="1">
      <alignment horizontal="center" vertical="center" readingOrder="2"/>
    </xf>
    <xf numFmtId="4" fontId="12" fillId="0" borderId="0" xfId="0" applyNumberFormat="1" applyFont="1" applyBorder="1" applyAlignment="1">
      <alignment horizontal="center" vertical="center" readingOrder="2"/>
    </xf>
    <xf numFmtId="9" fontId="32" fillId="5" borderId="2" xfId="1" applyFont="1" applyFill="1" applyBorder="1" applyAlignment="1">
      <alignment horizontal="center" vertical="center"/>
    </xf>
    <xf numFmtId="9" fontId="32" fillId="0" borderId="0" xfId="1" applyFont="1" applyBorder="1" applyAlignment="1">
      <alignment horizontal="center" vertical="center"/>
    </xf>
    <xf numFmtId="3" fontId="25" fillId="11" borderId="2" xfId="0" applyNumberFormat="1" applyFont="1" applyFill="1" applyBorder="1" applyAlignment="1" applyProtection="1">
      <alignment horizontal="right" vertical="center" wrapText="1" readingOrder="2"/>
      <protection hidden="1"/>
    </xf>
    <xf numFmtId="3" fontId="40" fillId="2" borderId="0" xfId="0" applyNumberFormat="1" applyFont="1" applyFill="1" applyBorder="1" applyAlignment="1">
      <alignment horizontal="right" vertical="center" wrapText="1" indent="1" readingOrder="1"/>
    </xf>
    <xf numFmtId="3" fontId="69" fillId="15" borderId="16" xfId="0" applyNumberFormat="1" applyFont="1" applyFill="1" applyBorder="1" applyAlignment="1">
      <alignment horizontal="right" vertical="center"/>
    </xf>
    <xf numFmtId="0" fontId="69" fillId="15" borderId="18" xfId="0" applyFont="1" applyFill="1" applyBorder="1" applyAlignment="1">
      <alignment horizontal="center" vertical="center"/>
    </xf>
    <xf numFmtId="0" fontId="0" fillId="15" borderId="15" xfId="0" applyFill="1" applyBorder="1" applyAlignment="1">
      <alignment horizontal="center"/>
    </xf>
    <xf numFmtId="0" fontId="28" fillId="15" borderId="15" xfId="0" applyFont="1" applyFill="1" applyBorder="1" applyAlignment="1">
      <alignment horizontal="center"/>
    </xf>
    <xf numFmtId="3" fontId="70" fillId="15" borderId="19" xfId="0" applyNumberFormat="1" applyFont="1" applyFill="1" applyBorder="1" applyAlignment="1">
      <alignment horizontal="center"/>
    </xf>
    <xf numFmtId="0" fontId="70" fillId="16" borderId="21" xfId="0" applyFont="1" applyFill="1" applyBorder="1" applyAlignment="1">
      <alignment horizontal="center" vertical="center"/>
    </xf>
    <xf numFmtId="3" fontId="70" fillId="15" borderId="22" xfId="0" applyNumberFormat="1" applyFont="1" applyFill="1" applyBorder="1" applyAlignment="1">
      <alignment horizontal="center"/>
    </xf>
    <xf numFmtId="0" fontId="71" fillId="15" borderId="23" xfId="0" applyFont="1" applyFill="1" applyBorder="1" applyAlignment="1">
      <alignment horizontal="center"/>
    </xf>
    <xf numFmtId="0" fontId="70" fillId="16" borderId="24" xfId="0" applyFont="1" applyFill="1" applyBorder="1" applyAlignment="1" applyProtection="1">
      <alignment horizontal="center" vertical="center"/>
      <protection locked="0"/>
    </xf>
    <xf numFmtId="0" fontId="0" fillId="15" borderId="15" xfId="0" applyFill="1" applyBorder="1"/>
    <xf numFmtId="3" fontId="68" fillId="15" borderId="15" xfId="0" applyNumberFormat="1" applyFont="1" applyFill="1" applyBorder="1" applyAlignment="1">
      <alignment horizontal="right" vertical="center"/>
    </xf>
    <xf numFmtId="3" fontId="69" fillId="15" borderId="17" xfId="0" applyNumberFormat="1" applyFont="1" applyFill="1" applyBorder="1" applyAlignment="1">
      <alignment horizontal="center" vertical="center"/>
    </xf>
    <xf numFmtId="165" fontId="69" fillId="15" borderId="26" xfId="0" applyNumberFormat="1" applyFont="1" applyFill="1" applyBorder="1" applyAlignment="1">
      <alignment horizontal="center" vertical="center"/>
    </xf>
    <xf numFmtId="3" fontId="69" fillId="15" borderId="26" xfId="0" applyNumberFormat="1" applyFont="1" applyFill="1" applyBorder="1" applyAlignment="1">
      <alignment horizontal="center" vertical="center"/>
    </xf>
    <xf numFmtId="0" fontId="71" fillId="15" borderId="20" xfId="0" applyFont="1" applyFill="1" applyBorder="1" applyAlignment="1">
      <alignment horizontal="center"/>
    </xf>
    <xf numFmtId="0" fontId="70" fillId="16" borderId="20" xfId="0" applyFont="1" applyFill="1" applyBorder="1" applyAlignment="1" applyProtection="1">
      <alignment horizontal="center" vertical="center"/>
      <protection locked="0"/>
    </xf>
    <xf numFmtId="0" fontId="73" fillId="15" borderId="27" xfId="0" applyFont="1" applyFill="1" applyBorder="1" applyAlignment="1">
      <alignment horizontal="center"/>
    </xf>
    <xf numFmtId="0" fontId="70" fillId="16" borderId="23" xfId="0" applyFont="1" applyFill="1" applyBorder="1" applyAlignment="1" applyProtection="1">
      <alignment horizontal="center" vertical="center"/>
      <protection locked="0"/>
    </xf>
    <xf numFmtId="0" fontId="73" fillId="15" borderId="28" xfId="0" applyFont="1" applyFill="1" applyBorder="1" applyAlignment="1">
      <alignment horizontal="center"/>
    </xf>
    <xf numFmtId="3" fontId="70" fillId="15" borderId="29" xfId="0" applyNumberFormat="1" applyFont="1" applyFill="1" applyBorder="1" applyAlignment="1">
      <alignment horizontal="center"/>
    </xf>
    <xf numFmtId="0" fontId="71" fillId="15" borderId="30" xfId="0" applyFont="1" applyFill="1" applyBorder="1" applyAlignment="1">
      <alignment horizontal="center"/>
    </xf>
    <xf numFmtId="0" fontId="70" fillId="16" borderId="30" xfId="0" applyFont="1" applyFill="1" applyBorder="1" applyAlignment="1" applyProtection="1">
      <alignment horizontal="center" vertical="center"/>
      <protection locked="0"/>
    </xf>
    <xf numFmtId="0" fontId="73" fillId="15" borderId="31" xfId="0" applyFont="1" applyFill="1" applyBorder="1" applyAlignment="1">
      <alignment horizontal="center"/>
    </xf>
    <xf numFmtId="3" fontId="5" fillId="15" borderId="25" xfId="0" applyNumberFormat="1" applyFont="1" applyFill="1" applyBorder="1" applyAlignment="1">
      <alignment horizontal="right" vertical="center" readingOrder="2"/>
    </xf>
    <xf numFmtId="0" fontId="51" fillId="15" borderId="25" xfId="0" applyFont="1" applyFill="1" applyBorder="1" applyAlignment="1">
      <alignment vertical="center"/>
    </xf>
    <xf numFmtId="0" fontId="51" fillId="15" borderId="25" xfId="0" applyFont="1" applyFill="1" applyBorder="1" applyAlignment="1">
      <alignment horizontal="center" vertical="center"/>
    </xf>
    <xf numFmtId="3" fontId="25" fillId="15" borderId="15" xfId="0" applyNumberFormat="1" applyFont="1" applyFill="1" applyBorder="1" applyAlignment="1">
      <alignment horizontal="center" vertical="center" readingOrder="2"/>
    </xf>
    <xf numFmtId="3" fontId="4" fillId="15" borderId="15" xfId="0" applyNumberFormat="1" applyFont="1" applyFill="1" applyBorder="1" applyAlignment="1">
      <alignment horizontal="right" vertical="center" readingOrder="2"/>
    </xf>
    <xf numFmtId="3" fontId="5" fillId="15" borderId="15" xfId="0" applyNumberFormat="1" applyFont="1" applyFill="1" applyBorder="1" applyAlignment="1">
      <alignment horizontal="center" vertical="center" readingOrder="2"/>
    </xf>
    <xf numFmtId="3" fontId="5" fillId="15" borderId="15" xfId="0" applyNumberFormat="1" applyFont="1" applyFill="1" applyBorder="1" applyAlignment="1">
      <alignment horizontal="center"/>
    </xf>
    <xf numFmtId="3" fontId="5" fillId="15" borderId="15" xfId="0" applyNumberFormat="1" applyFont="1" applyFill="1" applyBorder="1" applyAlignment="1">
      <alignment horizontal="right" vertical="center" readingOrder="2"/>
    </xf>
    <xf numFmtId="3" fontId="5" fillId="15" borderId="15" xfId="0" applyNumberFormat="1" applyFont="1" applyFill="1" applyBorder="1" applyAlignment="1">
      <alignment horizontal="right" vertical="center" wrapText="1" readingOrder="2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3" fontId="62" fillId="15" borderId="15" xfId="0" applyNumberFormat="1" applyFont="1" applyFill="1" applyBorder="1" applyAlignment="1">
      <alignment horizontal="center" vertical="center" readingOrder="2"/>
    </xf>
    <xf numFmtId="165" fontId="11" fillId="15" borderId="15" xfId="0" applyNumberFormat="1" applyFont="1" applyFill="1" applyBorder="1" applyAlignment="1">
      <alignment horizontal="right" vertical="center" indent="1" readingOrder="2"/>
    </xf>
    <xf numFmtId="3" fontId="71" fillId="15" borderId="20" xfId="0" applyNumberFormat="1" applyFont="1" applyFill="1" applyBorder="1" applyAlignment="1">
      <alignment horizontal="right" vertical="center"/>
    </xf>
    <xf numFmtId="0" fontId="71" fillId="15" borderId="23" xfId="0" applyFont="1" applyFill="1" applyBorder="1" applyAlignment="1">
      <alignment horizontal="right" vertical="center"/>
    </xf>
    <xf numFmtId="0" fontId="71" fillId="15" borderId="20" xfId="0" applyFont="1" applyFill="1" applyBorder="1" applyAlignment="1">
      <alignment horizontal="right" vertical="center"/>
    </xf>
    <xf numFmtId="0" fontId="71" fillId="15" borderId="30" xfId="0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center" vertical="center" readingOrder="2"/>
    </xf>
    <xf numFmtId="0" fontId="78" fillId="0" borderId="32" xfId="0" applyFont="1"/>
    <xf numFmtId="0" fontId="78" fillId="0" borderId="0" xfId="0" applyFont="1" applyBorder="1"/>
    <xf numFmtId="165" fontId="4" fillId="0" borderId="32" xfId="0" applyNumberFormat="1" applyFont="1" applyAlignment="1">
      <alignment horizontal="right" vertical="center" wrapText="1" readingOrder="2"/>
    </xf>
    <xf numFmtId="3" fontId="16" fillId="0" borderId="32" xfId="0" applyNumberFormat="1" applyFont="1" applyAlignment="1">
      <alignment horizontal="center" vertical="center" wrapText="1" readingOrder="2"/>
    </xf>
    <xf numFmtId="4" fontId="4" fillId="0" borderId="32" xfId="0" applyNumberFormat="1" applyFont="1" applyAlignment="1">
      <alignment horizontal="right" vertical="center" wrapText="1" readingOrder="2"/>
    </xf>
    <xf numFmtId="3" fontId="17" fillId="0" borderId="32" xfId="0" applyNumberFormat="1" applyFont="1" applyAlignment="1">
      <alignment horizontal="center" vertical="center" wrapText="1" readingOrder="2"/>
    </xf>
    <xf numFmtId="165" fontId="16" fillId="0" borderId="32" xfId="0" applyNumberFormat="1" applyFont="1" applyAlignment="1">
      <alignment horizontal="center" vertical="center" wrapText="1" readingOrder="2"/>
    </xf>
    <xf numFmtId="3" fontId="4" fillId="0" borderId="32" xfId="0" applyNumberFormat="1" applyFont="1" applyAlignment="1">
      <alignment horizontal="right" vertical="center" wrapText="1" readingOrder="2"/>
    </xf>
    <xf numFmtId="3" fontId="31" fillId="0" borderId="0" xfId="0" applyNumberFormat="1" applyFont="1" applyBorder="1" applyAlignment="1">
      <alignment horizontal="right" vertical="center" wrapText="1" readingOrder="2"/>
    </xf>
    <xf numFmtId="3" fontId="5" fillId="0" borderId="0" xfId="0" applyNumberFormat="1" applyFont="1" applyBorder="1" applyAlignment="1">
      <alignment vertical="center" wrapText="1" readingOrder="2"/>
    </xf>
    <xf numFmtId="3" fontId="5" fillId="0" borderId="32" xfId="0" applyNumberFormat="1" applyFont="1" applyAlignment="1">
      <alignment horizontal="right" vertical="center" wrapText="1" readingOrder="2"/>
    </xf>
    <xf numFmtId="0" fontId="0" fillId="0" borderId="32" xfId="0"/>
    <xf numFmtId="165" fontId="16" fillId="3" borderId="5" xfId="0" applyNumberFormat="1" applyFont="1" applyFill="1" applyBorder="1" applyAlignment="1">
      <alignment horizontal="center" vertical="center" readingOrder="2"/>
    </xf>
    <xf numFmtId="0" fontId="68" fillId="0" borderId="0" xfId="0" applyFont="1" applyBorder="1" applyAlignment="1">
      <alignment horizontal="right" vertical="center" readingOrder="2"/>
    </xf>
    <xf numFmtId="3" fontId="4" fillId="0" borderId="39" xfId="0" applyNumberFormat="1" applyFont="1" applyBorder="1" applyAlignment="1">
      <alignment horizontal="center" vertical="center" readingOrder="2"/>
    </xf>
    <xf numFmtId="3" fontId="69" fillId="15" borderId="33" xfId="0" applyNumberFormat="1" applyFont="1" applyFill="1" applyBorder="1" applyAlignment="1">
      <alignment horizontal="right" vertical="center"/>
    </xf>
    <xf numFmtId="0" fontId="69" fillId="15" borderId="34" xfId="0" applyFont="1" applyFill="1" applyBorder="1" applyAlignment="1">
      <alignment horizontal="center" vertical="center"/>
    </xf>
    <xf numFmtId="0" fontId="69" fillId="15" borderId="35" xfId="0" applyFont="1" applyFill="1" applyBorder="1" applyAlignment="1">
      <alignment horizontal="center" vertical="center"/>
    </xf>
    <xf numFmtId="164" fontId="18" fillId="0" borderId="0" xfId="0" applyNumberFormat="1" applyFont="1" applyBorder="1" applyAlignment="1">
      <alignment horizontal="left" vertical="center" readingOrder="1"/>
    </xf>
    <xf numFmtId="3" fontId="77" fillId="0" borderId="0" xfId="0" applyNumberFormat="1" applyFont="1" applyBorder="1" applyAlignment="1">
      <alignment horizontal="right" vertical="center" wrapText="1"/>
    </xf>
    <xf numFmtId="164" fontId="5" fillId="9" borderId="41" xfId="0" applyNumberFormat="1" applyFont="1" applyFill="1" applyBorder="1" applyAlignment="1">
      <alignment horizontal="center"/>
    </xf>
    <xf numFmtId="165" fontId="79" fillId="4" borderId="2" xfId="0" applyNumberFormat="1" applyFont="1" applyFill="1" applyBorder="1" applyAlignment="1">
      <alignment horizontal="center" vertical="center" readingOrder="2"/>
    </xf>
    <xf numFmtId="3" fontId="4" fillId="15" borderId="36" xfId="0" applyNumberFormat="1" applyFont="1" applyFill="1" applyBorder="1" applyAlignment="1">
      <alignment horizontal="right" vertical="center" readingOrder="2"/>
    </xf>
    <xf numFmtId="3" fontId="4" fillId="15" borderId="36" xfId="0" applyNumberFormat="1" applyFont="1" applyFill="1" applyBorder="1" applyAlignment="1">
      <alignment horizontal="left" vertical="center" readingOrder="2"/>
    </xf>
    <xf numFmtId="0" fontId="72" fillId="15" borderId="36" xfId="0" applyFont="1" applyFill="1" applyBorder="1" applyAlignment="1">
      <alignment horizontal="center"/>
    </xf>
    <xf numFmtId="3" fontId="5" fillId="7" borderId="38" xfId="0" applyNumberFormat="1" applyFont="1" applyFill="1" applyBorder="1" applyAlignment="1">
      <alignment horizontal="center" vertical="center" readingOrder="2"/>
    </xf>
    <xf numFmtId="165" fontId="3" fillId="4" borderId="2" xfId="0" applyNumberFormat="1" applyFont="1" applyFill="1" applyBorder="1" applyAlignment="1">
      <alignment horizontal="center" vertical="center" readingOrder="2"/>
    </xf>
    <xf numFmtId="3" fontId="6" fillId="0" borderId="0" xfId="0" applyNumberFormat="1" applyFont="1" applyBorder="1" applyAlignment="1">
      <alignment vertical="center" readingOrder="2"/>
    </xf>
    <xf numFmtId="3" fontId="12" fillId="7" borderId="38" xfId="0" applyNumberFormat="1" applyFont="1" applyFill="1" applyBorder="1" applyAlignment="1">
      <alignment horizontal="center" vertical="center" readingOrder="2"/>
    </xf>
    <xf numFmtId="3" fontId="49" fillId="0" borderId="0" xfId="0" applyNumberFormat="1" applyFont="1" applyBorder="1" applyAlignment="1">
      <alignment horizontal="right" vertical="center" readingOrder="2"/>
    </xf>
    <xf numFmtId="3" fontId="49" fillId="0" borderId="0" xfId="0" applyNumberFormat="1" applyFont="1" applyBorder="1" applyAlignment="1">
      <alignment horizontal="right" vertical="top" readingOrder="2"/>
    </xf>
    <xf numFmtId="3" fontId="49" fillId="0" borderId="0" xfId="0" applyNumberFormat="1" applyFont="1" applyBorder="1" applyAlignment="1">
      <alignment horizontal="right" vertical="top" wrapText="1" readingOrder="2"/>
    </xf>
    <xf numFmtId="3" fontId="79" fillId="4" borderId="2" xfId="0" applyNumberFormat="1" applyFont="1" applyFill="1" applyBorder="1" applyAlignment="1">
      <alignment horizontal="center" vertical="center" readingOrder="2"/>
    </xf>
    <xf numFmtId="3" fontId="21" fillId="0" borderId="0" xfId="0" applyNumberFormat="1" applyFont="1" applyBorder="1" applyAlignment="1">
      <alignment horizontal="center" vertical="center" indent="1" readingOrder="2"/>
    </xf>
    <xf numFmtId="3" fontId="34" fillId="0" borderId="0" xfId="0" applyNumberFormat="1" applyFont="1" applyBorder="1" applyAlignment="1">
      <alignment vertical="center" readingOrder="2"/>
    </xf>
    <xf numFmtId="165" fontId="19" fillId="17" borderId="37" xfId="0" applyNumberFormat="1" applyFont="1" applyFill="1" applyBorder="1" applyAlignment="1">
      <alignment horizontal="center" vertical="center" readingOrder="2"/>
    </xf>
    <xf numFmtId="0" fontId="51" fillId="0" borderId="0" xfId="0" applyFont="1" applyBorder="1" applyAlignment="1">
      <alignment horizontal="center" vertical="center"/>
    </xf>
    <xf numFmtId="3" fontId="21" fillId="0" borderId="0" xfId="0" applyNumberFormat="1" applyFont="1" applyBorder="1" applyAlignment="1">
      <alignment horizontal="center" indent="1" readingOrder="2"/>
    </xf>
    <xf numFmtId="3" fontId="74" fillId="0" borderId="0" xfId="0" applyNumberFormat="1" applyFont="1" applyBorder="1" applyAlignment="1">
      <alignment vertical="center" readingOrder="2"/>
    </xf>
    <xf numFmtId="3" fontId="8" fillId="0" borderId="0" xfId="0" applyNumberFormat="1" applyFont="1" applyBorder="1" applyAlignment="1">
      <alignment horizontal="left" vertical="center" readingOrder="1"/>
    </xf>
    <xf numFmtId="3" fontId="6" fillId="0" borderId="0" xfId="0" applyNumberFormat="1" applyFont="1" applyBorder="1" applyAlignment="1">
      <alignment horizontal="center" indent="1" readingOrder="2"/>
    </xf>
    <xf numFmtId="4" fontId="12" fillId="5" borderId="38" xfId="0" applyNumberFormat="1" applyFont="1" applyFill="1" applyBorder="1" applyAlignment="1">
      <alignment horizontal="center" vertical="center" readingOrder="2"/>
    </xf>
    <xf numFmtId="3" fontId="5" fillId="0" borderId="0" xfId="0" applyNumberFormat="1" applyFont="1" applyBorder="1" applyAlignment="1">
      <alignment horizontal="right" readingOrder="2"/>
    </xf>
    <xf numFmtId="3" fontId="8" fillId="2" borderId="39" xfId="0" applyNumberFormat="1" applyFont="1" applyFill="1" applyBorder="1" applyAlignment="1">
      <alignment horizontal="center" vertical="center" readingOrder="2"/>
    </xf>
    <xf numFmtId="3" fontId="12" fillId="5" borderId="40" xfId="0" applyNumberFormat="1" applyFont="1" applyFill="1" applyBorder="1" applyAlignment="1">
      <alignment horizontal="center" vertical="center" readingOrder="1"/>
    </xf>
    <xf numFmtId="3" fontId="50" fillId="0" borderId="0" xfId="0" applyNumberFormat="1" applyFont="1" applyBorder="1" applyAlignment="1">
      <alignment horizontal="center" indent="1" readingOrder="2"/>
    </xf>
    <xf numFmtId="164" fontId="10" fillId="0" borderId="39" xfId="0" applyNumberFormat="1" applyFont="1" applyBorder="1" applyAlignment="1">
      <alignment horizontal="left" vertical="center"/>
    </xf>
    <xf numFmtId="3" fontId="76" fillId="0" borderId="0" xfId="0" applyNumberFormat="1" applyFont="1" applyBorder="1" applyAlignment="1">
      <alignment horizontal="center" indent="1" readingOrder="2"/>
    </xf>
    <xf numFmtId="3" fontId="75" fillId="0" borderId="0" xfId="0" applyNumberFormat="1" applyFont="1" applyBorder="1" applyAlignment="1">
      <alignment vertical="center" readingOrder="2"/>
    </xf>
    <xf numFmtId="165" fontId="5" fillId="0" borderId="0" xfId="0" applyNumberFormat="1" applyFont="1" applyBorder="1" applyAlignment="1">
      <alignment horizontal="center" vertical="center" readingOrder="2"/>
    </xf>
    <xf numFmtId="3" fontId="6" fillId="0" borderId="0" xfId="0" applyNumberFormat="1" applyFont="1" applyBorder="1" applyAlignment="1">
      <alignment horizontal="right" vertical="center" wrapText="1" readingOrder="2"/>
    </xf>
    <xf numFmtId="0" fontId="0" fillId="0" borderId="0" xfId="0" applyBorder="1" applyProtection="1">
      <protection hidden="1"/>
    </xf>
    <xf numFmtId="3" fontId="4" fillId="0" borderId="0" xfId="0" applyNumberFormat="1" applyFont="1" applyBorder="1" applyAlignment="1">
      <alignment horizontal="right" vertical="center" wrapText="1" readingOrder="2"/>
    </xf>
    <xf numFmtId="3" fontId="4" fillId="0" borderId="0" xfId="0" applyNumberFormat="1" applyFont="1" applyBorder="1" applyAlignment="1">
      <alignment horizontal="center" vertical="center" wrapText="1" readingOrder="2"/>
    </xf>
    <xf numFmtId="3" fontId="7" fillId="2" borderId="0" xfId="0" applyNumberFormat="1" applyFont="1" applyFill="1" applyBorder="1" applyAlignment="1">
      <alignment horizontal="center" vertical="center" wrapText="1" readingOrder="2"/>
    </xf>
    <xf numFmtId="3" fontId="6" fillId="0" borderId="0" xfId="0" applyNumberFormat="1" applyFont="1" applyBorder="1" applyAlignment="1">
      <alignment horizontal="center" vertical="center" wrapText="1" readingOrder="2"/>
    </xf>
    <xf numFmtId="170" fontId="51" fillId="0" borderId="0" xfId="0" applyNumberFormat="1" applyFont="1" applyBorder="1" applyAlignment="1">
      <alignment horizontal="right" vertical="top"/>
    </xf>
    <xf numFmtId="167" fontId="5" fillId="9" borderId="38" xfId="0" applyNumberFormat="1" applyFont="1" applyFill="1" applyBorder="1" applyAlignment="1">
      <alignment horizontal="center" vertical="center"/>
    </xf>
    <xf numFmtId="167" fontId="5" fillId="9" borderId="2" xfId="0" applyNumberFormat="1" applyFont="1" applyFill="1" applyBorder="1" applyAlignment="1">
      <alignment horizontal="center" vertical="center"/>
    </xf>
    <xf numFmtId="170" fontId="16" fillId="3" borderId="5" xfId="0" applyNumberFormat="1" applyFont="1" applyFill="1" applyBorder="1" applyAlignment="1">
      <alignment horizontal="center" vertical="center" readingOrder="2"/>
    </xf>
    <xf numFmtId="170" fontId="16" fillId="18" borderId="5" xfId="0" applyNumberFormat="1" applyFont="1" applyFill="1" applyBorder="1" applyAlignment="1">
      <alignment horizontal="center" vertical="center" readingOrder="2"/>
    </xf>
    <xf numFmtId="170" fontId="19" fillId="17" borderId="42" xfId="0" applyNumberFormat="1" applyFont="1" applyFill="1" applyBorder="1" applyAlignment="1">
      <alignment horizontal="center" vertical="center" readingOrder="2"/>
    </xf>
    <xf numFmtId="170" fontId="19" fillId="17" borderId="37" xfId="0" applyNumberFormat="1" applyFont="1" applyFill="1" applyBorder="1" applyAlignment="1">
      <alignment horizontal="center" vertical="center" readingOrder="2"/>
    </xf>
    <xf numFmtId="170" fontId="32" fillId="5" borderId="2" xfId="0" applyNumberFormat="1" applyFont="1" applyFill="1" applyBorder="1" applyAlignment="1">
      <alignment horizontal="center" vertical="center" readingOrder="2"/>
    </xf>
    <xf numFmtId="170" fontId="32" fillId="0" borderId="0" xfId="0" applyNumberFormat="1" applyFont="1" applyBorder="1" applyAlignment="1">
      <alignment horizontal="center" vertical="center" readingOrder="2"/>
    </xf>
    <xf numFmtId="170" fontId="19" fillId="0" borderId="0" xfId="0" applyNumberFormat="1" applyFont="1" applyBorder="1" applyAlignment="1">
      <alignment horizontal="center" vertical="center" wrapText="1" readingOrder="1"/>
    </xf>
    <xf numFmtId="170" fontId="32" fillId="5" borderId="40" xfId="0" applyNumberFormat="1" applyFont="1" applyFill="1" applyBorder="1" applyAlignment="1">
      <alignment horizontal="center" vertical="center" readingOrder="2"/>
    </xf>
    <xf numFmtId="169" fontId="25" fillId="11" borderId="2" xfId="0" applyNumberFormat="1" applyFont="1" applyFill="1" applyBorder="1" applyAlignment="1" applyProtection="1">
      <alignment horizontal="center" vertical="center" wrapText="1" readingOrder="2"/>
      <protection hidden="1"/>
    </xf>
    <xf numFmtId="168" fontId="25" fillId="11" borderId="2" xfId="0" applyNumberFormat="1" applyFont="1" applyFill="1" applyBorder="1" applyAlignment="1" applyProtection="1">
      <alignment horizontal="center" vertical="center" wrapText="1" readingOrder="2"/>
      <protection hidden="1"/>
    </xf>
    <xf numFmtId="168" fontId="64" fillId="14" borderId="14" xfId="0" applyNumberFormat="1" applyFont="1" applyFill="1" applyBorder="1" applyAlignment="1">
      <alignment horizontal="left" vertical="center" readingOrder="2"/>
    </xf>
    <xf numFmtId="168" fontId="64" fillId="14" borderId="14" xfId="0" applyNumberFormat="1" applyFont="1" applyFill="1" applyBorder="1" applyAlignment="1">
      <alignment horizontal="right" vertical="center" readingOrder="2"/>
    </xf>
    <xf numFmtId="166" fontId="5" fillId="2" borderId="0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right" vertical="center" readingOrder="2"/>
    </xf>
    <xf numFmtId="3" fontId="46" fillId="2" borderId="0" xfId="0" applyNumberFormat="1" applyFont="1" applyFill="1" applyBorder="1" applyAlignment="1">
      <alignment readingOrder="2"/>
    </xf>
    <xf numFmtId="165" fontId="48" fillId="2" borderId="0" xfId="0" applyNumberFormat="1" applyFont="1" applyFill="1" applyBorder="1" applyAlignment="1">
      <alignment horizontal="right" vertical="center" readingOrder="2"/>
    </xf>
    <xf numFmtId="165" fontId="5" fillId="2" borderId="0" xfId="0" applyNumberFormat="1" applyFont="1" applyFill="1" applyBorder="1" applyAlignment="1">
      <alignment horizontal="right" vertical="center" readingOrder="2"/>
    </xf>
    <xf numFmtId="3" fontId="6" fillId="2" borderId="0" xfId="0" applyNumberFormat="1" applyFont="1" applyFill="1" applyBorder="1" applyAlignment="1">
      <alignment horizontal="center" readingOrder="2"/>
    </xf>
    <xf numFmtId="165" fontId="49" fillId="2" borderId="0" xfId="0" applyNumberFormat="1" applyFont="1" applyFill="1" applyBorder="1" applyAlignment="1">
      <alignment vertical="center" readingOrder="2"/>
    </xf>
    <xf numFmtId="170" fontId="51" fillId="2" borderId="0" xfId="0" applyNumberFormat="1" applyFont="1" applyFill="1" applyBorder="1" applyAlignment="1">
      <alignment horizontal="right" vertical="center" readingOrder="2"/>
    </xf>
    <xf numFmtId="167" fontId="5" fillId="2" borderId="38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right" vertical="center" readingOrder="2"/>
    </xf>
    <xf numFmtId="3" fontId="8" fillId="2" borderId="0" xfId="0" applyNumberFormat="1" applyFont="1" applyFill="1" applyBorder="1" applyAlignment="1">
      <alignment horizontal="right" vertical="center" readingOrder="2"/>
    </xf>
    <xf numFmtId="3" fontId="46" fillId="2" borderId="0" xfId="0" applyNumberFormat="1" applyFont="1" applyFill="1" applyBorder="1" applyAlignment="1">
      <alignment vertical="center" readingOrder="2"/>
    </xf>
    <xf numFmtId="3" fontId="2" fillId="2" borderId="0" xfId="0" applyNumberFormat="1" applyFont="1" applyFill="1" applyBorder="1" applyAlignment="1">
      <alignment horizontal="center" vertical="center" readingOrder="2"/>
    </xf>
    <xf numFmtId="3" fontId="28" fillId="2" borderId="0" xfId="0" applyNumberFormat="1" applyFont="1" applyFill="1" applyBorder="1" applyAlignment="1">
      <alignment horizontal="right" vertical="center" readingOrder="2"/>
    </xf>
    <xf numFmtId="165" fontId="9" fillId="2" borderId="0" xfId="0" applyNumberFormat="1" applyFont="1" applyFill="1" applyBorder="1" applyAlignment="1">
      <alignment horizontal="right" vertical="center" readingOrder="2"/>
    </xf>
    <xf numFmtId="165" fontId="6" fillId="2" borderId="0" xfId="0" applyNumberFormat="1" applyFont="1" applyFill="1" applyBorder="1" applyAlignment="1">
      <alignment horizontal="right" vertical="center" indent="1" readingOrder="2"/>
    </xf>
    <xf numFmtId="165" fontId="21" fillId="2" borderId="0" xfId="0" applyNumberFormat="1" applyFont="1" applyFill="1" applyBorder="1" applyAlignment="1">
      <alignment horizontal="right" vertical="center" readingOrder="2"/>
    </xf>
    <xf numFmtId="3" fontId="8" fillId="2" borderId="0" xfId="0" applyNumberFormat="1" applyFont="1" applyFill="1" applyBorder="1" applyAlignment="1">
      <alignment horizontal="right" readingOrder="2"/>
    </xf>
    <xf numFmtId="3" fontId="65" fillId="2" borderId="0" xfId="0" applyNumberFormat="1" applyFont="1" applyFill="1" applyBorder="1" applyAlignment="1">
      <alignment horizontal="right" vertical="center" readingOrder="2"/>
    </xf>
    <xf numFmtId="3" fontId="21" fillId="2" borderId="0" xfId="0" applyNumberFormat="1" applyFont="1" applyFill="1" applyBorder="1" applyAlignment="1">
      <alignment horizontal="center" vertical="center" readingOrder="2"/>
    </xf>
    <xf numFmtId="3" fontId="74" fillId="2" borderId="0" xfId="0" applyNumberFormat="1" applyFont="1" applyFill="1" applyBorder="1" applyAlignment="1">
      <alignment vertical="center" readingOrder="2"/>
    </xf>
    <xf numFmtId="3" fontId="60" fillId="19" borderId="0" xfId="0" applyNumberFormat="1" applyFont="1" applyFill="1" applyBorder="1" applyAlignment="1">
      <alignment horizontal="right" vertical="center" readingOrder="2"/>
    </xf>
    <xf numFmtId="3" fontId="61" fillId="2" borderId="0" xfId="0" applyNumberFormat="1" applyFont="1" applyFill="1" applyBorder="1" applyAlignment="1">
      <alignment horizontal="right" vertical="center" readingOrder="2"/>
    </xf>
    <xf numFmtId="0" fontId="54" fillId="2" borderId="0" xfId="0" applyFont="1" applyFill="1" applyBorder="1"/>
    <xf numFmtId="165" fontId="60" fillId="2" borderId="0" xfId="0" applyNumberFormat="1" applyFont="1" applyFill="1" applyBorder="1" applyAlignment="1">
      <alignment horizontal="right" vertical="center" readingOrder="2"/>
    </xf>
    <xf numFmtId="3" fontId="32" fillId="2" borderId="2" xfId="0" applyNumberFormat="1" applyFont="1" applyFill="1" applyBorder="1" applyAlignment="1">
      <alignment horizontal="center" vertical="center" readingOrder="2"/>
    </xf>
    <xf numFmtId="170" fontId="32" fillId="2" borderId="2" xfId="0" applyNumberFormat="1" applyFont="1" applyFill="1" applyBorder="1" applyAlignment="1">
      <alignment horizontal="center" vertical="center" readingOrder="2"/>
    </xf>
    <xf numFmtId="2" fontId="32" fillId="2" borderId="2" xfId="0" applyNumberFormat="1" applyFont="1" applyFill="1" applyBorder="1" applyAlignment="1">
      <alignment horizontal="center" vertical="center" readingOrder="2"/>
    </xf>
    <xf numFmtId="4" fontId="32" fillId="2" borderId="2" xfId="0" applyNumberFormat="1" applyFont="1" applyFill="1" applyBorder="1" applyAlignment="1">
      <alignment horizontal="center" vertical="center" readingOrder="2"/>
    </xf>
    <xf numFmtId="3" fontId="50" fillId="2" borderId="0" xfId="0" applyNumberFormat="1" applyFont="1" applyFill="1" applyBorder="1" applyAlignment="1">
      <alignment horizontal="center" readingOrder="2"/>
    </xf>
    <xf numFmtId="3" fontId="50" fillId="2" borderId="0" xfId="0" applyNumberFormat="1" applyFont="1" applyFill="1" applyBorder="1" applyAlignment="1">
      <alignment horizontal="right" vertical="center" readingOrder="2"/>
    </xf>
    <xf numFmtId="165" fontId="50" fillId="2" borderId="0" xfId="0" applyNumberFormat="1" applyFont="1" applyFill="1" applyBorder="1" applyAlignment="1">
      <alignment horizontal="right" vertical="center" readingOrder="2"/>
    </xf>
    <xf numFmtId="165" fontId="32" fillId="2" borderId="2" xfId="0" applyNumberFormat="1" applyFont="1" applyFill="1" applyBorder="1" applyAlignment="1">
      <alignment horizontal="center" vertical="center" readingOrder="2"/>
    </xf>
    <xf numFmtId="0" fontId="66" fillId="2" borderId="0" xfId="0" applyFont="1" applyFill="1" applyBorder="1"/>
    <xf numFmtId="0" fontId="67" fillId="2" borderId="0" xfId="0" applyFont="1" applyFill="1" applyBorder="1"/>
    <xf numFmtId="3" fontId="76" fillId="2" borderId="0" xfId="0" applyNumberFormat="1" applyFont="1" applyFill="1" applyBorder="1" applyAlignment="1">
      <alignment horizontal="center" vertical="center" readingOrder="2"/>
    </xf>
    <xf numFmtId="3" fontId="75" fillId="2" borderId="0" xfId="0" applyNumberFormat="1" applyFont="1" applyFill="1" applyBorder="1" applyAlignment="1">
      <alignment vertical="center" readingOrder="2"/>
    </xf>
    <xf numFmtId="9" fontId="32" fillId="2" borderId="2" xfId="1" applyFont="1" applyFill="1" applyBorder="1" applyAlignment="1">
      <alignment horizontal="center" vertical="center"/>
    </xf>
    <xf numFmtId="9" fontId="32" fillId="2" borderId="2" xfId="1" applyFont="1" applyFill="1" applyBorder="1" applyAlignment="1">
      <alignment horizontal="center" vertical="center" readingOrder="2"/>
    </xf>
    <xf numFmtId="3" fontId="70" fillId="15" borderId="43" xfId="0" applyNumberFormat="1" applyFont="1" applyFill="1" applyBorder="1" applyAlignment="1">
      <alignment horizontal="center"/>
    </xf>
    <xf numFmtId="0" fontId="71" fillId="15" borderId="9" xfId="0" applyFont="1" applyFill="1" applyBorder="1" applyAlignment="1">
      <alignment horizontal="right" vertical="center"/>
    </xf>
    <xf numFmtId="0" fontId="70" fillId="16" borderId="9" xfId="0" applyFont="1" applyFill="1" applyBorder="1" applyAlignment="1" applyProtection="1">
      <alignment horizontal="center" vertical="center"/>
      <protection locked="0"/>
    </xf>
    <xf numFmtId="0" fontId="71" fillId="15" borderId="9" xfId="0" applyFont="1" applyFill="1" applyBorder="1" applyAlignment="1">
      <alignment horizontal="center"/>
    </xf>
    <xf numFmtId="3" fontId="5" fillId="15" borderId="44" xfId="0" applyNumberFormat="1" applyFont="1" applyFill="1" applyBorder="1" applyAlignment="1">
      <alignment horizontal="center" vertical="center" readingOrder="2"/>
    </xf>
    <xf numFmtId="3" fontId="35" fillId="8" borderId="32" xfId="0" applyNumberFormat="1" applyFont="1" applyFill="1" applyAlignment="1">
      <alignment horizontal="left" vertical="center" readingOrder="2"/>
    </xf>
    <xf numFmtId="3" fontId="7" fillId="2" borderId="0" xfId="0" applyNumberFormat="1" applyFont="1" applyFill="1" applyBorder="1" applyAlignment="1">
      <alignment horizontal="center" vertical="center" wrapText="1" readingOrder="2"/>
    </xf>
    <xf numFmtId="0" fontId="60" fillId="12" borderId="2" xfId="0" applyFont="1" applyFill="1" applyBorder="1" applyAlignment="1">
      <alignment horizontal="center" readingOrder="2"/>
    </xf>
    <xf numFmtId="0" fontId="0" fillId="0" borderId="3" xfId="0" applyBorder="1"/>
    <xf numFmtId="0" fontId="0" fillId="0" borderId="4" xfId="0" applyBorder="1"/>
    <xf numFmtId="3" fontId="25" fillId="0" borderId="32" xfId="0" applyNumberFormat="1" applyFont="1" applyAlignment="1" applyProtection="1">
      <alignment vertical="center" wrapText="1" readingOrder="2"/>
      <protection hidden="1"/>
    </xf>
    <xf numFmtId="0" fontId="0" fillId="0" borderId="0" xfId="0" applyBorder="1" applyProtection="1">
      <protection hidden="1"/>
    </xf>
    <xf numFmtId="3" fontId="60" fillId="14" borderId="2" xfId="0" applyNumberFormat="1" applyFont="1" applyFill="1" applyBorder="1" applyAlignment="1">
      <alignment horizontal="center" vertical="center" readingOrder="2"/>
    </xf>
    <xf numFmtId="0" fontId="60" fillId="12" borderId="2" xfId="0" applyFont="1" applyFill="1" applyBorder="1" applyAlignment="1">
      <alignment horizontal="center" readingOrder="1"/>
    </xf>
    <xf numFmtId="3" fontId="61" fillId="14" borderId="2" xfId="0" applyNumberFormat="1" applyFont="1" applyFill="1" applyBorder="1" applyAlignment="1">
      <alignment horizontal="right" vertical="center" readingOrder="2"/>
    </xf>
    <xf numFmtId="3" fontId="63" fillId="14" borderId="2" xfId="0" applyNumberFormat="1" applyFont="1" applyFill="1" applyBorder="1" applyAlignment="1">
      <alignment horizontal="center" vertical="center" readingOrder="2"/>
    </xf>
    <xf numFmtId="3" fontId="4" fillId="0" borderId="32" xfId="0" applyNumberFormat="1" applyFont="1" applyAlignment="1">
      <alignment horizontal="right" vertical="center" readingOrder="2"/>
    </xf>
    <xf numFmtId="3" fontId="6" fillId="0" borderId="0" xfId="0" applyNumberFormat="1" applyFont="1" applyBorder="1" applyAlignment="1">
      <alignment horizontal="center" vertical="center" wrapText="1" readingOrder="2"/>
    </xf>
    <xf numFmtId="3" fontId="4" fillId="0" borderId="0" xfId="0" applyNumberFormat="1" applyFont="1" applyBorder="1" applyAlignment="1">
      <alignment horizontal="center" vertical="center" wrapText="1" readingOrder="2"/>
    </xf>
    <xf numFmtId="3" fontId="4" fillId="0" borderId="0" xfId="0" applyNumberFormat="1" applyFont="1" applyBorder="1" applyAlignment="1">
      <alignment horizontal="right" vertical="center" wrapText="1" readingOrder="2"/>
    </xf>
    <xf numFmtId="0" fontId="33" fillId="2" borderId="32" xfId="0" applyFont="1" applyFill="1" applyAlignment="1">
      <alignment horizontal="right" vertical="center" wrapText="1"/>
    </xf>
    <xf numFmtId="0" fontId="0" fillId="2" borderId="0" xfId="0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(Main!$C$6,Main!$C$8,Main!$C$10,Main!$C$12,Main!$C$14,Main!$C$16,Main!$C$18,Main!$C$20,Main!$C$22,Main!$C$24,Main!$C$26,Main!$C$28)</c:f>
              <c:strCache>
                <c:ptCount val="8"/>
                <c:pt idx="1">
                  <c:v>מדדים תעריפיים</c:v>
                </c:pt>
                <c:pt idx="2">
                  <c:v>ערכיות רב-שכבתית</c:v>
                </c:pt>
                <c:pt idx="3">
                  <c:v>גודל ופריסה</c:v>
                </c:pt>
                <c:pt idx="4">
                  <c:v>רמת שירות וממשקים</c:v>
                </c:pt>
                <c:pt idx="5">
                  <c:v>אמינות ושקיפות</c:v>
                </c:pt>
                <c:pt idx="6">
                  <c:v>סייבר ושמירת פרטיות</c:v>
                </c:pt>
                <c:pt idx="7">
                  <c:v>נוכחות דיגיטלית</c:v>
                </c:pt>
              </c:strCache>
            </c:strRef>
          </c:cat>
          <c:val>
            <c:numRef>
              <c:f>(Main!$H$6,Main!$H$8,Main!$H$10,Main!$H$12,Main!$H$14,Main!$H$16,Main!$H$18,Main!$H$20,Main!$H$22,Main!$H$24,Main!$H$26,Main!$H$28)</c:f>
              <c:numCache>
                <c:formatCode>#,##0.0</c:formatCode>
                <c:ptCount val="8"/>
                <c:pt idx="0">
                  <c:v>2.8571046595279919</c:v>
                </c:pt>
                <c:pt idx="1">
                  <c:v>4.6938775510204076</c:v>
                </c:pt>
                <c:pt idx="2">
                  <c:v>1.2269344969766911</c:v>
                </c:pt>
                <c:pt idx="3">
                  <c:v>2.0841597845817255</c:v>
                </c:pt>
                <c:pt idx="4">
                  <c:v>0</c:v>
                </c:pt>
                <c:pt idx="5">
                  <c:v>4.5999999999999996</c:v>
                </c:pt>
                <c:pt idx="6">
                  <c:v>3.75</c:v>
                </c:pt>
                <c:pt idx="7">
                  <c:v>3.9121419020145018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7-44B7-877F-5818BDA1F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820264"/>
        <c:axId val="506823544"/>
      </c:radarChart>
      <c:catAx>
        <c:axId val="50682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06823544"/>
        <c:crosses val="autoZero"/>
        <c:auto val="1"/>
        <c:lblAlgn val="ctr"/>
        <c:lblOffset val="100"/>
        <c:noMultiLvlLbl val="0"/>
      </c:catAx>
      <c:valAx>
        <c:axId val="50682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06820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8</xdr:col>
      <xdr:colOff>312882</xdr:colOff>
      <xdr:row>4</xdr:row>
      <xdr:rowOff>863600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U265"/>
  <sheetViews>
    <sheetView showGridLines="0" rightToLeft="1" topLeftCell="A40" zoomScale="55" zoomScaleNormal="55" workbookViewId="0">
      <selection activeCell="G71" sqref="G71"/>
    </sheetView>
  </sheetViews>
  <sheetFormatPr defaultColWidth="9" defaultRowHeight="16.5" x14ac:dyDescent="0.3"/>
  <cols>
    <col min="1" max="1" width="3.25" style="287" customWidth="1"/>
    <col min="2" max="2" width="6.4140625" style="59" customWidth="1"/>
    <col min="3" max="3" width="5.25" style="59" customWidth="1"/>
    <col min="4" max="4" width="13.08203125" style="290" customWidth="1"/>
    <col min="5" max="5" width="6" style="288" customWidth="1"/>
    <col min="6" max="6" width="16.4140625" style="288" customWidth="1"/>
    <col min="7" max="7" width="30.75" style="287" customWidth="1"/>
    <col min="8" max="8" width="11.4140625" style="288" customWidth="1"/>
    <col min="9" max="10" width="7.9140625" style="287" customWidth="1"/>
    <col min="11" max="11" width="34.4140625" style="287" customWidth="1"/>
    <col min="12" max="12" width="7.9140625" style="287" customWidth="1"/>
    <col min="13" max="13" width="6.1640625" customWidth="1"/>
    <col min="14" max="14" width="18" style="288" customWidth="1"/>
    <col min="15" max="16" width="10" style="288" bestFit="1" customWidth="1"/>
    <col min="17" max="17" width="4" style="288" customWidth="1"/>
    <col min="18" max="18" width="2.4140625" style="288" hidden="1" customWidth="1"/>
    <col min="19" max="19" width="22.4140625" style="3" customWidth="1"/>
    <col min="20" max="20" width="49.4140625" style="9" customWidth="1"/>
    <col min="21" max="21" width="6.25" customWidth="1"/>
    <col min="22" max="26" width="9" style="3" customWidth="1"/>
    <col min="27" max="16384" width="9" style="3"/>
  </cols>
  <sheetData>
    <row r="1" spans="1:21" s="289" customFormat="1" ht="15" customHeight="1" x14ac:dyDescent="0.3">
      <c r="A1" s="35"/>
      <c r="B1" s="56"/>
      <c r="C1" s="56"/>
      <c r="D1" s="57"/>
      <c r="E1" s="16"/>
      <c r="F1" s="16"/>
      <c r="G1" s="3"/>
      <c r="H1" s="16"/>
      <c r="I1" s="55"/>
      <c r="J1" s="55"/>
      <c r="K1" s="55"/>
      <c r="L1" s="55"/>
      <c r="M1" s="55"/>
      <c r="N1" s="3"/>
      <c r="O1" s="16"/>
      <c r="P1" s="16"/>
      <c r="Q1" s="16"/>
    </row>
    <row r="2" spans="1:21" s="289" customFormat="1" ht="25" customHeight="1" x14ac:dyDescent="0.3">
      <c r="A2" s="34"/>
      <c r="B2" s="148" t="s">
        <v>0</v>
      </c>
      <c r="C2" s="110"/>
      <c r="D2" s="110"/>
      <c r="E2" s="353" t="s">
        <v>1</v>
      </c>
      <c r="F2" s="354"/>
      <c r="G2" s="354"/>
      <c r="H2" s="112">
        <v>12</v>
      </c>
      <c r="I2" s="114" t="s">
        <v>2</v>
      </c>
      <c r="J2" s="114"/>
      <c r="K2" s="114"/>
      <c r="L2" s="114"/>
      <c r="M2" s="113"/>
      <c r="N2" s="110"/>
      <c r="O2" s="110"/>
      <c r="P2" s="110"/>
      <c r="Q2" s="110"/>
      <c r="T2" s="8"/>
    </row>
    <row r="3" spans="1:21" s="289" customFormat="1" ht="7.5" customHeight="1" x14ac:dyDescent="0.3">
      <c r="A3" s="36"/>
      <c r="B3" s="149"/>
      <c r="C3" s="108"/>
      <c r="D3" s="108"/>
      <c r="E3" s="108"/>
      <c r="F3" s="108"/>
      <c r="G3" s="108"/>
      <c r="H3" s="108"/>
      <c r="I3" s="109"/>
      <c r="J3" s="109"/>
      <c r="K3" s="109"/>
      <c r="L3" s="109"/>
      <c r="M3" s="109"/>
      <c r="N3" s="108"/>
      <c r="O3" s="108"/>
      <c r="P3" s="108"/>
      <c r="Q3" s="108"/>
      <c r="T3" s="8"/>
    </row>
    <row r="4" spans="1:21" ht="19.5" customHeight="1" x14ac:dyDescent="0.3">
      <c r="A4" s="36"/>
      <c r="B4" s="150" t="s">
        <v>3</v>
      </c>
      <c r="C4" s="111"/>
      <c r="D4" s="115" t="s">
        <v>4</v>
      </c>
      <c r="E4" s="116" t="s">
        <v>5</v>
      </c>
      <c r="F4" s="116"/>
      <c r="G4" s="116" t="s">
        <v>6</v>
      </c>
      <c r="H4" s="117"/>
      <c r="I4" s="118" t="s">
        <v>7</v>
      </c>
      <c r="J4" s="118"/>
      <c r="K4" s="118"/>
      <c r="L4" s="118"/>
      <c r="M4" s="111"/>
      <c r="N4" s="111"/>
      <c r="O4" s="111"/>
      <c r="P4" s="111"/>
      <c r="Q4" s="111"/>
      <c r="R4" s="16"/>
      <c r="T4" s="155" t="s">
        <v>8</v>
      </c>
    </row>
    <row r="5" spans="1:21" s="289" customFormat="1" ht="61" customHeight="1" thickBot="1" x14ac:dyDescent="0.35">
      <c r="A5" s="36"/>
      <c r="B5" s="45"/>
      <c r="C5" s="45"/>
      <c r="D5" s="46"/>
      <c r="E5" s="45"/>
      <c r="F5" s="45"/>
      <c r="G5" s="125" t="s">
        <v>9</v>
      </c>
      <c r="H5" s="48"/>
      <c r="I5" s="18"/>
      <c r="J5" s="18"/>
      <c r="K5" s="18"/>
      <c r="L5" s="18"/>
      <c r="M5" s="48"/>
      <c r="N5" s="48"/>
      <c r="O5" s="48"/>
      <c r="P5" s="48"/>
      <c r="Q5" s="58"/>
      <c r="R5" s="58"/>
      <c r="T5" s="156" t="s">
        <v>10</v>
      </c>
    </row>
    <row r="6" spans="1:21" s="289" customFormat="1" ht="37" customHeight="1" thickBot="1" x14ac:dyDescent="0.35">
      <c r="A6" s="37"/>
      <c r="B6" s="65" t="s">
        <v>11</v>
      </c>
      <c r="C6" s="3"/>
      <c r="D6" s="3"/>
      <c r="E6" s="124" t="s">
        <v>12</v>
      </c>
      <c r="F6" s="124"/>
      <c r="G6" s="126" t="s">
        <v>13</v>
      </c>
      <c r="H6" s="88">
        <f ca="1">(H8*G8 + H10*G10 + H14*G14 + H16*G16 + H18*G18 + H20*G20 + H24*G24)/SUM(G8,G10,G14,G16,G18,G20,G22,G24)</f>
        <v>2.8571046595279919</v>
      </c>
      <c r="I6" s="60"/>
      <c r="J6" s="235"/>
      <c r="K6" s="235"/>
      <c r="L6" s="235"/>
      <c r="M6" s="235"/>
      <c r="Q6" s="3"/>
      <c r="R6" s="3"/>
      <c r="S6" s="3"/>
      <c r="T6" s="158"/>
      <c r="U6" s="10"/>
    </row>
    <row r="7" spans="1:21" ht="11.5" customHeight="1" x14ac:dyDescent="0.3">
      <c r="A7" s="37"/>
      <c r="B7" s="62"/>
      <c r="C7" s="33"/>
      <c r="E7" s="17"/>
      <c r="F7" s="17"/>
      <c r="H7" s="47"/>
      <c r="I7" s="63"/>
      <c r="J7" s="235"/>
      <c r="K7" s="236"/>
      <c r="L7" s="236"/>
      <c r="M7" s="235"/>
      <c r="Q7" s="64"/>
      <c r="R7" s="3"/>
      <c r="T7" s="16"/>
    </row>
    <row r="8" spans="1:21" ht="23" customHeight="1" x14ac:dyDescent="0.3">
      <c r="A8" s="37"/>
      <c r="B8" s="89">
        <v>1</v>
      </c>
      <c r="C8" s="87" t="s">
        <v>14</v>
      </c>
      <c r="E8" s="65"/>
      <c r="F8" s="65"/>
      <c r="G8" s="162">
        <v>2</v>
      </c>
      <c r="H8" s="66">
        <f>H32</f>
        <v>4.6938775510204076</v>
      </c>
      <c r="I8" s="60"/>
      <c r="J8" s="235"/>
      <c r="K8" s="236"/>
      <c r="L8" s="236"/>
      <c r="M8" s="235"/>
      <c r="Q8" s="64"/>
      <c r="R8" s="3"/>
      <c r="T8" s="159"/>
    </row>
    <row r="9" spans="1:21" ht="9" customHeight="1" x14ac:dyDescent="0.3">
      <c r="A9" s="37"/>
      <c r="B9" s="89"/>
      <c r="C9" s="90"/>
      <c r="E9" s="67"/>
      <c r="F9" s="67"/>
      <c r="G9" s="237"/>
      <c r="H9" s="238"/>
      <c r="I9" s="63"/>
      <c r="J9" s="235"/>
      <c r="K9" s="236"/>
      <c r="L9" s="236"/>
      <c r="M9" s="235"/>
      <c r="Q9" s="64"/>
      <c r="R9" s="3"/>
      <c r="T9" s="41"/>
    </row>
    <row r="10" spans="1:21" ht="23" customHeight="1" x14ac:dyDescent="0.3">
      <c r="A10" s="37"/>
      <c r="B10" s="89">
        <v>2</v>
      </c>
      <c r="C10" s="87" t="str">
        <f>C63</f>
        <v>ערכיות רב-שכבתית</v>
      </c>
      <c r="E10" s="65"/>
      <c r="F10" s="65"/>
      <c r="G10" s="162">
        <v>1.8</v>
      </c>
      <c r="H10" s="66">
        <f>H63</f>
        <v>1.2269344969766911</v>
      </c>
      <c r="I10" s="60"/>
      <c r="J10" s="235"/>
      <c r="K10" s="236"/>
      <c r="L10" s="236"/>
      <c r="M10" s="235"/>
      <c r="Q10" s="3"/>
      <c r="R10" s="3"/>
      <c r="T10" s="159"/>
    </row>
    <row r="11" spans="1:21" ht="9" customHeight="1" x14ac:dyDescent="0.3">
      <c r="A11" s="37"/>
      <c r="B11" s="89"/>
      <c r="C11" s="91"/>
      <c r="E11" s="68"/>
      <c r="F11" s="68"/>
      <c r="G11" s="239"/>
      <c r="H11" s="240"/>
      <c r="I11" s="60"/>
      <c r="J11" s="235"/>
      <c r="K11" s="236"/>
      <c r="L11" s="236"/>
      <c r="M11" s="235"/>
      <c r="Q11" s="3"/>
      <c r="R11" s="3"/>
      <c r="T11" s="41"/>
    </row>
    <row r="12" spans="1:21" ht="23" hidden="1" customHeight="1" x14ac:dyDescent="0.3">
      <c r="A12" s="35"/>
      <c r="B12" s="89"/>
      <c r="C12" s="87"/>
      <c r="E12" s="65"/>
      <c r="F12" s="65"/>
      <c r="G12" s="239"/>
      <c r="H12" s="241"/>
      <c r="I12" s="60"/>
      <c r="J12" s="235"/>
      <c r="K12" s="236"/>
      <c r="L12" s="236"/>
      <c r="M12" s="235"/>
      <c r="Q12" s="3"/>
      <c r="R12" s="3"/>
      <c r="T12" s="159"/>
    </row>
    <row r="13" spans="1:21" ht="9" hidden="1" customHeight="1" x14ac:dyDescent="0.3">
      <c r="A13" s="35"/>
      <c r="B13" s="89"/>
      <c r="C13" s="91"/>
      <c r="E13" s="69"/>
      <c r="F13" s="69"/>
      <c r="G13" s="239"/>
      <c r="H13" s="240"/>
      <c r="I13" s="60"/>
      <c r="J13" s="235"/>
      <c r="K13" s="236"/>
      <c r="L13" s="236"/>
      <c r="M13" s="235"/>
      <c r="Q13" s="3"/>
      <c r="R13" s="3"/>
      <c r="T13" s="41"/>
    </row>
    <row r="14" spans="1:21" ht="23" customHeight="1" x14ac:dyDescent="0.3">
      <c r="A14" s="35"/>
      <c r="B14" s="89">
        <v>3</v>
      </c>
      <c r="C14" s="92" t="str">
        <f>C114</f>
        <v>גודל ופריסה</v>
      </c>
      <c r="E14" s="65"/>
      <c r="F14" s="65"/>
      <c r="G14" s="162">
        <v>1.6</v>
      </c>
      <c r="H14" s="66">
        <f ca="1">H114</f>
        <v>2.0841597845817255</v>
      </c>
      <c r="I14" s="60"/>
      <c r="J14" s="235"/>
      <c r="K14" s="236"/>
      <c r="L14" s="236"/>
      <c r="M14" s="235"/>
      <c r="Q14" s="3"/>
      <c r="R14" s="3"/>
      <c r="T14" s="159"/>
    </row>
    <row r="15" spans="1:21" ht="9" customHeight="1" x14ac:dyDescent="0.3">
      <c r="A15" s="35"/>
      <c r="B15" s="89"/>
      <c r="C15" s="91"/>
      <c r="E15" s="69"/>
      <c r="F15" s="69"/>
      <c r="G15" s="237"/>
      <c r="H15" s="240"/>
      <c r="I15" s="60"/>
      <c r="J15" s="235"/>
      <c r="K15" s="236"/>
      <c r="L15" s="236"/>
      <c r="M15" s="235"/>
      <c r="Q15" s="3"/>
      <c r="R15" s="3"/>
      <c r="T15" s="41"/>
    </row>
    <row r="16" spans="1:21" ht="23" customHeight="1" x14ac:dyDescent="0.3">
      <c r="A16" s="35"/>
      <c r="B16" s="89">
        <v>4</v>
      </c>
      <c r="C16" s="92" t="str">
        <f>C120</f>
        <v>רמת שירות וממשקים</v>
      </c>
      <c r="E16" s="70"/>
      <c r="F16" s="70"/>
      <c r="G16" s="162">
        <v>1.4</v>
      </c>
      <c r="H16" s="66">
        <f>H120</f>
        <v>0</v>
      </c>
      <c r="I16" s="60"/>
      <c r="J16" s="235"/>
      <c r="K16" s="236"/>
      <c r="L16" s="236"/>
      <c r="M16" s="235"/>
      <c r="Q16" s="3"/>
      <c r="R16" s="3"/>
      <c r="T16" s="159"/>
    </row>
    <row r="17" spans="1:21" ht="9" customHeight="1" x14ac:dyDescent="0.3">
      <c r="A17" s="35"/>
      <c r="B17" s="89"/>
      <c r="C17" s="87"/>
      <c r="E17" s="69"/>
      <c r="F17" s="69"/>
      <c r="G17" s="237"/>
      <c r="H17" s="240"/>
      <c r="I17" s="60"/>
      <c r="J17" s="235"/>
      <c r="K17" s="236"/>
      <c r="L17" s="236"/>
      <c r="M17" s="235"/>
      <c r="Q17" s="3"/>
      <c r="R17" s="3"/>
      <c r="T17" s="41"/>
    </row>
    <row r="18" spans="1:21" ht="23" customHeight="1" x14ac:dyDescent="0.3">
      <c r="A18" s="35"/>
      <c r="B18" s="89">
        <v>5</v>
      </c>
      <c r="C18" s="92" t="str">
        <f>C127</f>
        <v>אמינות ושקיפות</v>
      </c>
      <c r="E18" s="70"/>
      <c r="F18" s="70"/>
      <c r="G18" s="162">
        <v>1.5</v>
      </c>
      <c r="H18" s="66">
        <f>H127</f>
        <v>4.5999999999999996</v>
      </c>
      <c r="I18" s="60"/>
      <c r="J18" s="235"/>
      <c r="K18" s="236"/>
      <c r="L18" s="236"/>
      <c r="M18" s="235"/>
      <c r="Q18" s="3"/>
      <c r="R18" s="3"/>
      <c r="T18" s="159"/>
    </row>
    <row r="19" spans="1:21" ht="9" customHeight="1" x14ac:dyDescent="0.3">
      <c r="A19" s="35"/>
      <c r="B19" s="89"/>
      <c r="C19" s="87"/>
      <c r="E19" s="65"/>
      <c r="F19" s="65"/>
      <c r="G19" s="237"/>
      <c r="H19" s="240"/>
      <c r="I19" s="60"/>
      <c r="J19" s="235"/>
      <c r="K19" s="236"/>
      <c r="L19" s="236"/>
      <c r="M19" s="235"/>
      <c r="Q19" s="3"/>
      <c r="R19" s="3"/>
      <c r="T19" s="41"/>
    </row>
    <row r="20" spans="1:21" ht="23" customHeight="1" x14ac:dyDescent="0.3">
      <c r="A20" s="35"/>
      <c r="B20" s="89">
        <v>6</v>
      </c>
      <c r="C20" s="93" t="str">
        <f>C134</f>
        <v>סייבר ושמירת פרטיות</v>
      </c>
      <c r="E20" s="65"/>
      <c r="F20" s="65"/>
      <c r="G20" s="162">
        <v>1.4</v>
      </c>
      <c r="H20" s="66">
        <f>H134</f>
        <v>3.75</v>
      </c>
      <c r="I20" s="60"/>
      <c r="J20" s="235"/>
      <c r="K20" s="236"/>
      <c r="L20" s="236"/>
      <c r="M20" s="235"/>
      <c r="Q20" s="3"/>
      <c r="R20" s="3"/>
      <c r="T20" s="159"/>
    </row>
    <row r="21" spans="1:21" ht="9" customHeight="1" x14ac:dyDescent="0.3">
      <c r="A21" s="35"/>
      <c r="B21" s="89"/>
      <c r="C21" s="87"/>
      <c r="E21" s="65"/>
      <c r="F21" s="65"/>
      <c r="G21" s="237"/>
      <c r="H21" s="240"/>
      <c r="I21" s="60"/>
      <c r="J21" s="235"/>
      <c r="K21" s="236"/>
      <c r="L21" s="236"/>
      <c r="M21" s="235"/>
      <c r="Q21" s="3"/>
      <c r="R21" s="3"/>
      <c r="T21" s="41"/>
    </row>
    <row r="22" spans="1:21" ht="23" hidden="1" customHeight="1" x14ac:dyDescent="0.3">
      <c r="A22" s="35"/>
      <c r="B22" s="89"/>
      <c r="C22" s="92"/>
      <c r="E22" s="65"/>
      <c r="F22" s="65"/>
      <c r="G22" s="162"/>
      <c r="H22" s="66"/>
      <c r="I22" s="60"/>
      <c r="J22" s="235"/>
      <c r="K22" s="236"/>
      <c r="L22" s="236"/>
      <c r="M22" s="235"/>
      <c r="Q22" s="3"/>
      <c r="R22" s="3"/>
      <c r="T22" s="159"/>
    </row>
    <row r="23" spans="1:21" ht="9" hidden="1" customHeight="1" x14ac:dyDescent="0.3">
      <c r="A23" s="35"/>
      <c r="B23" s="89"/>
      <c r="C23" s="87"/>
      <c r="E23" s="65"/>
      <c r="F23" s="65"/>
      <c r="G23" s="237"/>
      <c r="H23" s="240"/>
      <c r="I23" s="60"/>
      <c r="J23" s="235"/>
      <c r="K23" s="236"/>
      <c r="L23" s="236"/>
      <c r="M23" s="235"/>
      <c r="R23" s="3"/>
      <c r="S23" s="102"/>
      <c r="T23" s="42"/>
    </row>
    <row r="24" spans="1:21" ht="23" customHeight="1" x14ac:dyDescent="0.3">
      <c r="A24" s="35"/>
      <c r="B24" s="89">
        <v>7</v>
      </c>
      <c r="C24" s="92" t="str">
        <f>C152</f>
        <v>נוכחות דיגיטלית</v>
      </c>
      <c r="E24" s="65"/>
      <c r="F24" s="65"/>
      <c r="G24" s="162">
        <v>0.6</v>
      </c>
      <c r="H24" s="66">
        <f>H152</f>
        <v>3.9121419020145018</v>
      </c>
      <c r="I24" s="60"/>
      <c r="J24" s="235"/>
      <c r="K24" s="236"/>
      <c r="L24" s="236"/>
      <c r="M24" s="235"/>
      <c r="R24" s="3"/>
      <c r="S24" s="102"/>
      <c r="T24" s="159"/>
    </row>
    <row r="25" spans="1:21" ht="9" customHeight="1" thickBot="1" x14ac:dyDescent="0.35">
      <c r="A25" s="35"/>
      <c r="B25" s="89"/>
      <c r="C25" s="91"/>
      <c r="E25" s="65"/>
      <c r="F25" s="65"/>
      <c r="G25" s="237"/>
      <c r="H25" s="240"/>
      <c r="I25" s="60"/>
      <c r="J25" s="235"/>
      <c r="K25" s="236"/>
      <c r="L25" s="236"/>
      <c r="M25" s="235"/>
      <c r="Q25" s="242"/>
      <c r="R25" s="3"/>
      <c r="S25" s="102"/>
      <c r="T25" s="41"/>
    </row>
    <row r="26" spans="1:21" ht="23.5" hidden="1" customHeight="1" thickBot="1" x14ac:dyDescent="0.35">
      <c r="A26" s="35"/>
      <c r="B26" s="89"/>
      <c r="C26" s="87"/>
      <c r="E26" s="65"/>
      <c r="F26" s="65"/>
      <c r="G26" s="237"/>
      <c r="H26" s="241"/>
      <c r="I26" s="60"/>
      <c r="J26" s="235"/>
      <c r="K26" s="235"/>
      <c r="L26" s="235"/>
      <c r="M26" s="235"/>
      <c r="Q26" s="242"/>
      <c r="R26" s="3"/>
      <c r="S26" s="102"/>
      <c r="T26" s="159"/>
    </row>
    <row r="27" spans="1:21" ht="9" hidden="1" customHeight="1" x14ac:dyDescent="0.3">
      <c r="A27" s="35"/>
      <c r="B27" s="89"/>
      <c r="C27" s="90"/>
      <c r="E27" s="68"/>
      <c r="F27" s="68"/>
      <c r="G27" s="237"/>
      <c r="H27" s="240"/>
      <c r="I27" s="60"/>
      <c r="J27" s="60"/>
      <c r="K27" s="60"/>
      <c r="L27" s="60"/>
      <c r="M27" s="61"/>
      <c r="P27" s="242"/>
      <c r="Q27" s="103"/>
      <c r="R27" s="3"/>
      <c r="T27" s="42"/>
    </row>
    <row r="28" spans="1:21" ht="23" hidden="1" customHeight="1" x14ac:dyDescent="0.3">
      <c r="A28" s="35"/>
      <c r="B28" s="89"/>
      <c r="C28" s="87"/>
      <c r="E28" s="243"/>
      <c r="F28" s="243"/>
      <c r="G28" s="237"/>
      <c r="H28" s="241"/>
      <c r="I28" s="60"/>
      <c r="J28" s="60"/>
      <c r="K28" s="60"/>
      <c r="L28" s="60"/>
      <c r="R28" s="3"/>
      <c r="T28" s="159"/>
    </row>
    <row r="29" spans="1:21" ht="6" hidden="1" customHeight="1" x14ac:dyDescent="0.4">
      <c r="A29" s="35"/>
      <c r="C29" s="106"/>
      <c r="D29" s="106"/>
      <c r="E29" s="244"/>
      <c r="F29" s="244"/>
      <c r="G29" s="245"/>
      <c r="H29" s="246"/>
      <c r="I29" s="16"/>
      <c r="J29" s="16"/>
      <c r="K29" s="16"/>
      <c r="L29" s="16"/>
      <c r="M29" s="3"/>
      <c r="N29" s="77"/>
      <c r="O29" s="3"/>
      <c r="P29" s="242"/>
      <c r="Q29" s="242"/>
      <c r="R29" s="3"/>
      <c r="S29" s="4"/>
      <c r="T29" s="157"/>
    </row>
    <row r="30" spans="1:21" ht="23.5" hidden="1" customHeight="1" x14ac:dyDescent="0.3">
      <c r="A30" s="35"/>
      <c r="B30" s="89"/>
      <c r="C30" s="87"/>
      <c r="E30" s="243"/>
      <c r="F30" s="243"/>
      <c r="G30" s="237"/>
      <c r="H30" s="66"/>
      <c r="I30" s="16"/>
      <c r="J30" s="16"/>
      <c r="K30" s="16"/>
      <c r="L30" s="16"/>
      <c r="M30" s="3"/>
      <c r="N30" s="77"/>
      <c r="O30" s="3"/>
      <c r="P30" s="3"/>
      <c r="Q30" s="3"/>
      <c r="R30" s="3"/>
      <c r="S30" s="4"/>
      <c r="T30" s="157"/>
    </row>
    <row r="31" spans="1:21" ht="18.5" hidden="1" customHeight="1" thickBot="1" x14ac:dyDescent="0.45">
      <c r="A31" s="35"/>
      <c r="C31" s="106"/>
      <c r="D31" s="106"/>
      <c r="E31" s="244"/>
      <c r="F31" s="244"/>
      <c r="G31" s="125"/>
      <c r="H31" s="246"/>
      <c r="I31" s="16"/>
      <c r="J31" s="16"/>
      <c r="K31" s="16"/>
      <c r="L31" s="16"/>
      <c r="M31" s="3"/>
      <c r="N31" s="77"/>
      <c r="O31" s="3"/>
      <c r="P31" s="3"/>
      <c r="Q31" s="3"/>
      <c r="R31" s="3"/>
      <c r="S31" s="4"/>
      <c r="T31" s="157"/>
    </row>
    <row r="32" spans="1:21" s="5" customFormat="1" ht="21" customHeight="1" thickBot="1" x14ac:dyDescent="0.45">
      <c r="A32" s="39"/>
      <c r="B32" s="19">
        <v>1</v>
      </c>
      <c r="C32" s="123" t="s">
        <v>15</v>
      </c>
      <c r="D32" s="25"/>
      <c r="G32" s="86" t="s">
        <v>16</v>
      </c>
      <c r="H32" s="247">
        <f>(H34*5+H41+H54)/7</f>
        <v>4.6938775510204076</v>
      </c>
      <c r="I32" s="12"/>
      <c r="J32" s="11"/>
      <c r="K32" s="11"/>
      <c r="L32" s="12"/>
      <c r="M32" s="248" t="s">
        <v>17</v>
      </c>
      <c r="P32" s="196"/>
      <c r="Q32" s="197"/>
      <c r="R32" s="4"/>
      <c r="T32" s="160"/>
      <c r="U32" s="76"/>
    </row>
    <row r="33" spans="1:21" s="5" customFormat="1" ht="17.5" customHeight="1" thickBot="1" x14ac:dyDescent="0.45">
      <c r="A33" s="39"/>
      <c r="B33" s="19"/>
      <c r="C33" s="123"/>
      <c r="D33" s="25"/>
      <c r="G33" s="86"/>
      <c r="H33" s="249"/>
      <c r="I33" s="12"/>
      <c r="J33" s="11"/>
      <c r="K33" s="11"/>
      <c r="L33" s="22"/>
      <c r="M33" s="250" t="s">
        <v>18</v>
      </c>
      <c r="N33" s="251"/>
      <c r="O33" s="252" t="s">
        <v>19</v>
      </c>
      <c r="P33" s="196"/>
      <c r="Q33" s="197"/>
      <c r="R33" s="4"/>
      <c r="T33" s="161"/>
      <c r="U33" s="76"/>
    </row>
    <row r="34" spans="1:21" s="5" customFormat="1" ht="21" customHeight="1" thickBot="1" x14ac:dyDescent="0.4">
      <c r="A34" s="39"/>
      <c r="B34" s="33">
        <v>1</v>
      </c>
      <c r="C34" s="127" t="s">
        <v>20</v>
      </c>
      <c r="D34" s="25"/>
      <c r="G34" s="253" t="s">
        <v>21</v>
      </c>
      <c r="H34" s="146">
        <f>(IF(H35=Normalize!E6,5,IF(H35&lt;Normalize!E6,5,IF(H35&gt;Normalize!G6,0,5-((H35-Normalize!E6)/(Normalize!G6-Normalize!E6))*5)))+IF(H36=Normalize!E7,5,IF(H36&lt;Normalize!E7,5,IF(H36&gt;Normalize!G7,0,5-((H36-Normalize!E7)/(Normalize!G7-Normalize!E7))*5)))+IF(H37=Normalize!E8,5,IF(H37&lt;Normalize!E8,5,IF(H37&gt;Normalize!G8,0,5-((H37-Normalize!E8)/(Normalize!G8-Normalize!E8))*5)))+IF(H38=Normalize!E9,5,IF(H38&lt;Normalize!E9,5,IF(H38&gt;Normalize!G9,0,5-((H38-Normalize!E9)/(Normalize!G9-Normalize!E9))*5)))+IF(H39=Normalize!E10,5,IF(H39&lt;Normalize!E10,5,IF(H39&gt;Normalize!G10,0,5-((H39-Normalize!E10)/(Normalize!G10-Normalize!E10))*5))))/5</f>
        <v>5</v>
      </c>
      <c r="I34" s="12"/>
      <c r="J34" s="11"/>
      <c r="K34" s="254" t="s">
        <v>22</v>
      </c>
      <c r="L34" s="95"/>
      <c r="M34" s="198">
        <v>1</v>
      </c>
      <c r="N34" s="230" t="s">
        <v>23</v>
      </c>
      <c r="O34" s="199">
        <v>0</v>
      </c>
      <c r="P34" s="196"/>
      <c r="Q34" s="197"/>
      <c r="R34" s="4"/>
      <c r="T34" s="161"/>
      <c r="U34" s="76"/>
    </row>
    <row r="35" spans="1:21" s="5" customFormat="1" ht="14.5" customHeight="1" x14ac:dyDescent="0.35">
      <c r="A35" s="39"/>
      <c r="B35" s="23"/>
      <c r="C35" s="128">
        <v>1.1000000000000001</v>
      </c>
      <c r="D35" s="25" t="s">
        <v>24</v>
      </c>
      <c r="G35" s="94" t="s">
        <v>25</v>
      </c>
      <c r="H35" s="255">
        <v>0.6</v>
      </c>
      <c r="I35" s="31"/>
      <c r="J35" s="256">
        <f>C35</f>
        <v>1.1000000000000001</v>
      </c>
      <c r="K35" s="52"/>
      <c r="L35" s="95"/>
      <c r="M35" s="200">
        <v>2</v>
      </c>
      <c r="N35" s="231" t="s">
        <v>26</v>
      </c>
      <c r="O35" s="202">
        <v>0</v>
      </c>
      <c r="P35" s="196"/>
      <c r="Q35" s="197"/>
      <c r="R35" s="4"/>
      <c r="T35" s="161"/>
      <c r="U35" s="76"/>
    </row>
    <row r="36" spans="1:21" s="5" customFormat="1" ht="14.5" customHeight="1" x14ac:dyDescent="0.35">
      <c r="A36" s="39"/>
      <c r="B36" s="23"/>
      <c r="C36" s="128">
        <v>1.2</v>
      </c>
      <c r="D36" s="25" t="s">
        <v>27</v>
      </c>
      <c r="G36" s="94" t="s">
        <v>25</v>
      </c>
      <c r="H36" s="105">
        <v>0.5</v>
      </c>
      <c r="I36" s="31"/>
      <c r="J36" s="256">
        <f>C36</f>
        <v>1.2</v>
      </c>
      <c r="K36" s="52"/>
      <c r="L36" s="95"/>
      <c r="M36" s="200">
        <v>3</v>
      </c>
      <c r="N36" s="231" t="s">
        <v>28</v>
      </c>
      <c r="O36" s="202">
        <v>0</v>
      </c>
      <c r="P36" s="196"/>
      <c r="Q36" s="197"/>
      <c r="R36" s="4"/>
      <c r="T36" s="161"/>
      <c r="U36" s="76"/>
    </row>
    <row r="37" spans="1:21" s="5" customFormat="1" ht="14.5" customHeight="1" x14ac:dyDescent="0.35">
      <c r="A37" s="39"/>
      <c r="B37" s="23"/>
      <c r="C37" s="128">
        <v>1.3</v>
      </c>
      <c r="D37" s="25" t="s">
        <v>29</v>
      </c>
      <c r="G37" s="94" t="s">
        <v>25</v>
      </c>
      <c r="H37" s="105">
        <v>0.5</v>
      </c>
      <c r="I37" s="31"/>
      <c r="J37" s="256">
        <f>C37</f>
        <v>1.3</v>
      </c>
      <c r="K37" s="52"/>
      <c r="L37" s="95"/>
      <c r="M37" s="200">
        <v>4</v>
      </c>
      <c r="N37" s="231" t="s">
        <v>30</v>
      </c>
      <c r="O37" s="202">
        <v>0</v>
      </c>
      <c r="P37" s="196"/>
      <c r="Q37" s="197"/>
      <c r="R37" s="4"/>
      <c r="T37" s="161"/>
      <c r="U37" s="76"/>
    </row>
    <row r="38" spans="1:21" s="5" customFormat="1" ht="14.5" customHeight="1" x14ac:dyDescent="0.35">
      <c r="A38" s="39"/>
      <c r="B38" s="23"/>
      <c r="C38" s="128">
        <v>1.4</v>
      </c>
      <c r="D38" s="25" t="s">
        <v>31</v>
      </c>
      <c r="G38" s="94" t="s">
        <v>25</v>
      </c>
      <c r="H38" s="105">
        <v>0.4</v>
      </c>
      <c r="I38" s="31"/>
      <c r="J38" s="256">
        <f>C38</f>
        <v>1.4</v>
      </c>
      <c r="K38" s="52"/>
      <c r="L38" s="95"/>
      <c r="M38" s="200">
        <v>5</v>
      </c>
      <c r="N38" s="231" t="s">
        <v>32</v>
      </c>
      <c r="O38" s="202">
        <v>5</v>
      </c>
      <c r="P38" s="196"/>
      <c r="Q38" s="197"/>
      <c r="R38" s="4"/>
      <c r="T38" s="161"/>
      <c r="U38" s="76"/>
    </row>
    <row r="39" spans="1:21" s="5" customFormat="1" ht="14.5" customHeight="1" x14ac:dyDescent="0.35">
      <c r="A39" s="39"/>
      <c r="B39" s="23"/>
      <c r="C39" s="128">
        <v>1.5</v>
      </c>
      <c r="D39" s="25" t="s">
        <v>33</v>
      </c>
      <c r="G39" s="94" t="s">
        <v>25</v>
      </c>
      <c r="H39" s="105">
        <v>0.1</v>
      </c>
      <c r="I39" s="31"/>
      <c r="J39" s="256">
        <f>C39</f>
        <v>1.5</v>
      </c>
      <c r="K39" s="52"/>
      <c r="L39" s="95"/>
      <c r="M39" s="200">
        <v>6</v>
      </c>
      <c r="N39" s="231" t="s">
        <v>34</v>
      </c>
      <c r="O39" s="202">
        <v>0</v>
      </c>
      <c r="P39" s="196"/>
      <c r="Q39" s="197"/>
      <c r="R39" s="4"/>
      <c r="T39" s="161"/>
      <c r="U39" s="76"/>
    </row>
    <row r="40" spans="1:21" s="5" customFormat="1" ht="14.5" customHeight="1" thickBot="1" x14ac:dyDescent="0.4">
      <c r="A40" s="39"/>
      <c r="B40" s="23"/>
      <c r="C40" s="128"/>
      <c r="D40" s="24"/>
      <c r="G40" s="94"/>
      <c r="H40" s="249"/>
      <c r="I40" s="31"/>
      <c r="J40" s="11"/>
      <c r="K40" s="11"/>
      <c r="L40" s="95"/>
      <c r="M40" s="200">
        <v>7</v>
      </c>
      <c r="N40" s="231" t="s">
        <v>35</v>
      </c>
      <c r="O40" s="202">
        <v>0</v>
      </c>
      <c r="P40" s="196"/>
      <c r="Q40" s="197"/>
      <c r="R40" s="4"/>
      <c r="T40" s="161"/>
      <c r="U40" s="76"/>
    </row>
    <row r="41" spans="1:21" s="5" customFormat="1" ht="14.5" customHeight="1" thickBot="1" x14ac:dyDescent="0.4">
      <c r="A41" s="39"/>
      <c r="B41" s="33">
        <v>2</v>
      </c>
      <c r="C41" s="129" t="s">
        <v>36</v>
      </c>
      <c r="D41" s="129"/>
      <c r="G41" s="253" t="s">
        <v>21</v>
      </c>
      <c r="H41" s="146">
        <f>(IF(H42=Normalize!E13,5,IF(H42&lt;Normalize!E13,5,IF(H42&gt;Normalize!G13,0,5-((H42-Normalize!E13)/(Normalize!G13-Normalize!E13))*5)))+
IF(H43=Normalize!E14,5,IF(H43&lt;Normalize!E14,5,IF(H43&gt;Normalize!G14,0,5-((H43-Normalize!E14)/(Normalize!G14-Normalize!E14))*5)))+
IF(H44=Normalize!E15,5,IF(H44&lt;Normalize!E15,5,IF(H44&gt;Normalize!G15,0,5-((H44-Normalize!E15)/(Normalize!G15-Normalize!E15))*5)))+
IF(H45=Normalize!E16,5,IF(H45&lt;Normalize!E16,5,IF(H45&gt;Normalize!G16,0,5-((H45-Normalize!E16)/(Normalize!G16-Normalize!E16))*5)))+
IF(H46=Normalize!E17,5,IF(H46&lt;Normalize!E17,5,IF(H46&gt;Normalize!G17,0,5-((H46-Normalize!E17)/(Normalize!G17-Normalize!E17))*5)))+
IF(H47=Normalize!E18,5,IF(H47&lt;Normalize!E18,5,IF(H47&gt;Normalize!G18,0,5-((H47-Normalize!E18)/(Normalize!G18-Normalize!E18))*5)))+
IF(H48=Normalize!E19,5,IF(H48&lt;Normalize!E19,5,IF(H48&gt;Normalize!G19,0,5-((H48-Normalize!E19)/(Normalize!G19-Normalize!E19))*5)))+
IF(H49=Normalize!E20,5,IF(H49&lt;Normalize!E20,5,IF(H49&gt;Normalize!G20,0,5-((H49-Normalize!E20)/(Normalize!G20-Normalize!E20))*5)))+
IF(H50=Normalize!E21,5,IF(H50&lt;Normalize!E21,5,IF(H50&gt;Normalize!G21,0,5-((H50-Normalize!E21)/(Normalize!G21-Normalize!E21))*5)))+
IF(H51=Normalize!E22,5,IF(H51&lt;Normalize!E22,5,IF(H51&gt;Normalize!G22,0,5-((H51-Normalize!E22)/(Normalize!G22-Normalize!E22))*5)))+
IF(H52=Normalize!E23,5,IF(H52&lt;Normalize!E23,5,IF(H52&gt;Normalize!G23,0,5-((H52-Normalize!E23)/(Normalize!G23-Normalize!E23))*5))))/11</f>
        <v>5</v>
      </c>
      <c r="J41" s="11"/>
      <c r="K41" s="11"/>
      <c r="L41" s="95"/>
      <c r="M41" s="200">
        <v>8</v>
      </c>
      <c r="N41" s="231" t="s">
        <v>37</v>
      </c>
      <c r="O41" s="202">
        <v>0</v>
      </c>
      <c r="P41" s="196"/>
      <c r="Q41" s="197"/>
      <c r="R41" s="4"/>
      <c r="T41" s="161"/>
      <c r="U41" s="76"/>
    </row>
    <row r="42" spans="1:21" s="5" customFormat="1" ht="14.5" customHeight="1" thickBot="1" x14ac:dyDescent="0.4">
      <c r="A42" s="38"/>
      <c r="B42" s="33"/>
      <c r="C42" s="291" t="s">
        <v>38</v>
      </c>
      <c r="D42" s="25" t="s">
        <v>39</v>
      </c>
      <c r="G42" s="6" t="s">
        <v>25</v>
      </c>
      <c r="H42" s="292">
        <v>45</v>
      </c>
      <c r="J42" s="256" t="str">
        <f t="shared" ref="J42:J52" si="0">C42</f>
        <v>1.1</v>
      </c>
      <c r="K42" s="52"/>
      <c r="L42" s="95"/>
      <c r="M42" s="200">
        <v>9</v>
      </c>
      <c r="N42" s="231" t="s">
        <v>40</v>
      </c>
      <c r="O42" s="202">
        <v>0</v>
      </c>
      <c r="P42" s="196"/>
      <c r="Q42" s="197"/>
      <c r="R42" s="107"/>
      <c r="S42" s="96"/>
      <c r="T42" s="161"/>
      <c r="U42" s="76"/>
    </row>
    <row r="43" spans="1:21" s="5" customFormat="1" ht="14.5" customHeight="1" thickBot="1" x14ac:dyDescent="0.4">
      <c r="A43" s="38"/>
      <c r="B43" s="33"/>
      <c r="C43" s="291" t="s">
        <v>41</v>
      </c>
      <c r="D43" s="25" t="s">
        <v>23</v>
      </c>
      <c r="G43" s="6" t="s">
        <v>25</v>
      </c>
      <c r="H43" s="293">
        <v>125</v>
      </c>
      <c r="J43" s="256" t="str">
        <f t="shared" si="0"/>
        <v>1.2</v>
      </c>
      <c r="K43" s="52"/>
      <c r="L43" s="12"/>
      <c r="M43" s="200">
        <v>10</v>
      </c>
      <c r="N43" s="231" t="s">
        <v>42</v>
      </c>
      <c r="O43" s="202">
        <v>0</v>
      </c>
      <c r="P43" s="196"/>
      <c r="Q43" s="197"/>
      <c r="R43" s="107"/>
      <c r="S43" s="96"/>
      <c r="T43" s="161"/>
      <c r="U43" s="76"/>
    </row>
    <row r="44" spans="1:21" s="5" customFormat="1" ht="14.5" customHeight="1" x14ac:dyDescent="0.35">
      <c r="A44" s="38"/>
      <c r="B44" s="33"/>
      <c r="C44" s="291" t="s">
        <v>43</v>
      </c>
      <c r="D44" s="25" t="s">
        <v>26</v>
      </c>
      <c r="G44" s="6" t="s">
        <v>25</v>
      </c>
      <c r="H44" s="293">
        <v>66</v>
      </c>
      <c r="J44" s="256" t="str">
        <f t="shared" si="0"/>
        <v>1.3</v>
      </c>
      <c r="K44" s="52"/>
      <c r="L44" s="12"/>
      <c r="M44" s="257"/>
      <c r="N44" s="258"/>
      <c r="O44" s="259">
        <f>SUM(O34:O43)/5</f>
        <v>1</v>
      </c>
      <c r="P44" s="196"/>
      <c r="Q44" s="197"/>
      <c r="R44" s="107"/>
      <c r="S44" s="96"/>
      <c r="T44" s="161"/>
      <c r="U44" s="76"/>
    </row>
    <row r="45" spans="1:21" s="5" customFormat="1" ht="14.5" customHeight="1" x14ac:dyDescent="0.35">
      <c r="A45" s="38"/>
      <c r="B45" s="33"/>
      <c r="C45" s="291" t="s">
        <v>44</v>
      </c>
      <c r="D45" s="25" t="s">
        <v>28</v>
      </c>
      <c r="G45" s="6" t="s">
        <v>25</v>
      </c>
      <c r="H45" s="293">
        <v>275</v>
      </c>
      <c r="J45" s="256" t="str">
        <f t="shared" si="0"/>
        <v>1.4</v>
      </c>
      <c r="K45" s="52"/>
      <c r="L45" s="12"/>
      <c r="M45" s="203"/>
      <c r="N45" s="203"/>
      <c r="O45" s="203"/>
      <c r="P45" s="196"/>
      <c r="Q45" s="197"/>
      <c r="R45" s="107"/>
      <c r="S45" s="96"/>
      <c r="T45" s="161"/>
      <c r="U45" s="76"/>
    </row>
    <row r="46" spans="1:21" s="5" customFormat="1" ht="14.5" customHeight="1" x14ac:dyDescent="0.35">
      <c r="A46" s="38"/>
      <c r="B46" s="33"/>
      <c r="C46" s="291" t="s">
        <v>45</v>
      </c>
      <c r="D46" s="25" t="s">
        <v>30</v>
      </c>
      <c r="G46" s="6" t="s">
        <v>25</v>
      </c>
      <c r="H46" s="293">
        <v>90</v>
      </c>
      <c r="J46" s="256" t="str">
        <f t="shared" si="0"/>
        <v>1.5</v>
      </c>
      <c r="K46" s="52"/>
      <c r="L46" s="31"/>
      <c r="M46" s="203"/>
      <c r="N46" s="203"/>
      <c r="O46" s="203"/>
      <c r="P46" s="196"/>
      <c r="Q46" s="197"/>
      <c r="R46" s="107"/>
      <c r="S46" s="96"/>
      <c r="T46" s="161"/>
      <c r="U46" s="76"/>
    </row>
    <row r="47" spans="1:21" s="5" customFormat="1" ht="14.5" customHeight="1" x14ac:dyDescent="0.35">
      <c r="A47" s="38"/>
      <c r="B47" s="33"/>
      <c r="C47" s="291" t="s">
        <v>46</v>
      </c>
      <c r="D47" s="25" t="s">
        <v>47</v>
      </c>
      <c r="G47" s="6" t="s">
        <v>25</v>
      </c>
      <c r="H47" s="293">
        <v>75</v>
      </c>
      <c r="J47" s="256" t="str">
        <f t="shared" si="0"/>
        <v>1.6</v>
      </c>
      <c r="K47" s="52"/>
      <c r="L47" s="31"/>
      <c r="M47" s="203"/>
      <c r="N47" s="203"/>
      <c r="O47" s="203"/>
      <c r="P47" s="196"/>
      <c r="Q47" s="197"/>
      <c r="R47" s="107"/>
      <c r="S47" s="96"/>
      <c r="T47" s="161"/>
      <c r="U47" s="76"/>
    </row>
    <row r="48" spans="1:21" s="5" customFormat="1" ht="14.5" customHeight="1" x14ac:dyDescent="0.35">
      <c r="A48" s="38"/>
      <c r="B48" s="33"/>
      <c r="C48" s="291" t="s">
        <v>48</v>
      </c>
      <c r="D48" s="25" t="s">
        <v>34</v>
      </c>
      <c r="G48" s="6" t="s">
        <v>25</v>
      </c>
      <c r="H48" s="293">
        <v>75</v>
      </c>
      <c r="J48" s="256" t="str">
        <f t="shared" si="0"/>
        <v>1.7</v>
      </c>
      <c r="K48" s="52"/>
      <c r="L48" s="31"/>
      <c r="M48" s="203"/>
      <c r="N48" s="203"/>
      <c r="O48" s="203"/>
      <c r="P48" s="196"/>
      <c r="Q48" s="197"/>
      <c r="R48" s="107"/>
      <c r="S48" s="96"/>
      <c r="T48" s="161"/>
      <c r="U48" s="76"/>
    </row>
    <row r="49" spans="1:21" s="5" customFormat="1" ht="14.5" customHeight="1" x14ac:dyDescent="0.35">
      <c r="A49" s="38"/>
      <c r="B49" s="33"/>
      <c r="C49" s="291" t="s">
        <v>49</v>
      </c>
      <c r="D49" s="25" t="s">
        <v>35</v>
      </c>
      <c r="G49" s="6" t="s">
        <v>25</v>
      </c>
      <c r="H49" s="293">
        <v>60</v>
      </c>
      <c r="J49" s="256" t="str">
        <f t="shared" si="0"/>
        <v>1.8</v>
      </c>
      <c r="K49" s="52"/>
      <c r="L49" s="31"/>
      <c r="M49" s="203"/>
      <c r="N49" s="203"/>
      <c r="O49" s="203"/>
      <c r="P49" s="196"/>
      <c r="Q49" s="197"/>
      <c r="R49" s="107"/>
      <c r="S49" s="96"/>
      <c r="T49" s="161"/>
      <c r="U49" s="76"/>
    </row>
    <row r="50" spans="1:21" s="5" customFormat="1" ht="14.5" customHeight="1" x14ac:dyDescent="0.35">
      <c r="A50" s="38"/>
      <c r="B50" s="33"/>
      <c r="C50" s="291" t="s">
        <v>50</v>
      </c>
      <c r="D50" s="119" t="s">
        <v>37</v>
      </c>
      <c r="G50" s="6" t="s">
        <v>25</v>
      </c>
      <c r="H50" s="293">
        <v>100</v>
      </c>
      <c r="J50" s="256" t="str">
        <f t="shared" si="0"/>
        <v>1.9</v>
      </c>
      <c r="K50" s="52"/>
      <c r="L50" s="31"/>
      <c r="M50" s="203"/>
      <c r="N50" s="203"/>
      <c r="O50" s="203"/>
      <c r="P50" s="196"/>
      <c r="Q50" s="197"/>
      <c r="R50" s="107"/>
      <c r="S50" s="96"/>
      <c r="T50" s="161"/>
      <c r="U50" s="76"/>
    </row>
    <row r="51" spans="1:21" s="5" customFormat="1" ht="14.5" customHeight="1" x14ac:dyDescent="0.3">
      <c r="A51" s="38"/>
      <c r="B51" s="33"/>
      <c r="C51" s="291" t="s">
        <v>51</v>
      </c>
      <c r="D51" s="119" t="s">
        <v>40</v>
      </c>
      <c r="G51" s="6" t="s">
        <v>25</v>
      </c>
      <c r="H51" s="293">
        <v>55</v>
      </c>
      <c r="J51" s="256" t="str">
        <f t="shared" si="0"/>
        <v>1.10</v>
      </c>
      <c r="K51" s="52"/>
      <c r="L51" s="31"/>
      <c r="M51" s="203"/>
      <c r="N51" s="203"/>
      <c r="O51" s="203"/>
      <c r="P51" s="203"/>
      <c r="Q51" s="203"/>
      <c r="R51" s="107"/>
      <c r="S51" s="96"/>
      <c r="T51" s="161"/>
      <c r="U51" s="76"/>
    </row>
    <row r="52" spans="1:21" s="5" customFormat="1" ht="18" customHeight="1" thickBot="1" x14ac:dyDescent="0.35">
      <c r="A52" s="38"/>
      <c r="C52" s="291" t="s">
        <v>52</v>
      </c>
      <c r="D52" s="119" t="s">
        <v>42</v>
      </c>
      <c r="G52" s="6" t="s">
        <v>25</v>
      </c>
      <c r="H52" s="293">
        <v>275</v>
      </c>
      <c r="J52" s="256" t="str">
        <f t="shared" si="0"/>
        <v>1.11</v>
      </c>
      <c r="K52" s="52"/>
      <c r="M52" s="203"/>
      <c r="N52" s="203"/>
      <c r="O52" s="203"/>
      <c r="P52" s="203"/>
      <c r="Q52" s="203"/>
      <c r="R52" s="107"/>
      <c r="S52" s="96"/>
      <c r="T52" s="161"/>
      <c r="U52" s="76"/>
    </row>
    <row r="53" spans="1:21" s="5" customFormat="1" ht="14.5" customHeight="1" thickBot="1" x14ac:dyDescent="0.4">
      <c r="A53" s="38"/>
      <c r="B53" s="23"/>
      <c r="C53" s="121"/>
      <c r="H53" s="249"/>
      <c r="J53" s="11"/>
      <c r="K53" s="11"/>
      <c r="M53" s="204" t="s">
        <v>53</v>
      </c>
      <c r="N53" s="203"/>
      <c r="O53" s="203"/>
      <c r="P53" s="196"/>
      <c r="Q53" s="197"/>
      <c r="R53" s="107"/>
      <c r="S53" s="96"/>
      <c r="T53" s="161"/>
      <c r="U53" s="76"/>
    </row>
    <row r="54" spans="1:21" s="5" customFormat="1" ht="14.5" customHeight="1" thickBot="1" x14ac:dyDescent="0.4">
      <c r="B54" s="23">
        <v>3</v>
      </c>
      <c r="C54" s="127" t="s">
        <v>54</v>
      </c>
      <c r="G54" s="253" t="s">
        <v>21</v>
      </c>
      <c r="H54" s="131">
        <f>SUM(H55:H61)/7</f>
        <v>2.8571428571428572</v>
      </c>
      <c r="M54" s="194" t="s">
        <v>55</v>
      </c>
      <c r="N54" s="205"/>
      <c r="O54" s="206" t="s">
        <v>19</v>
      </c>
      <c r="P54" s="207" t="s">
        <v>56</v>
      </c>
      <c r="Q54" s="195"/>
      <c r="R54" s="107"/>
      <c r="S54" s="96"/>
      <c r="T54" s="161"/>
      <c r="U54" s="76"/>
    </row>
    <row r="55" spans="1:21" s="5" customFormat="1" ht="14.5" customHeight="1" x14ac:dyDescent="0.4">
      <c r="B55" s="23"/>
      <c r="C55" s="128">
        <v>3.1</v>
      </c>
      <c r="D55" s="25" t="s">
        <v>57</v>
      </c>
      <c r="G55" s="6" t="s">
        <v>19</v>
      </c>
      <c r="H55" s="260">
        <v>5</v>
      </c>
      <c r="J55" s="261">
        <f t="shared" ref="J55:J61" si="1">C55</f>
        <v>3.1</v>
      </c>
      <c r="K55" s="52"/>
      <c r="M55" s="198">
        <v>1</v>
      </c>
      <c r="N55" s="232" t="s">
        <v>58</v>
      </c>
      <c r="O55" s="209">
        <v>0</v>
      </c>
      <c r="P55" s="208" t="s">
        <v>23</v>
      </c>
      <c r="Q55" s="210"/>
      <c r="R55" s="107"/>
      <c r="S55" s="96"/>
      <c r="T55" s="161"/>
      <c r="U55" s="76"/>
    </row>
    <row r="56" spans="1:21" s="5" customFormat="1" ht="14.5" customHeight="1" x14ac:dyDescent="0.4">
      <c r="B56" s="23"/>
      <c r="C56" s="128">
        <v>3.2</v>
      </c>
      <c r="D56" s="25" t="s">
        <v>59</v>
      </c>
      <c r="G56" s="6" t="s">
        <v>19</v>
      </c>
      <c r="H56" s="132">
        <v>5</v>
      </c>
      <c r="J56" s="261">
        <f t="shared" si="1"/>
        <v>3.2</v>
      </c>
      <c r="K56" s="52"/>
      <c r="M56" s="200">
        <v>2</v>
      </c>
      <c r="N56" s="231" t="s">
        <v>60</v>
      </c>
      <c r="O56" s="211">
        <v>0</v>
      </c>
      <c r="P56" s="201" t="s">
        <v>23</v>
      </c>
      <c r="Q56" s="212"/>
      <c r="R56" s="107"/>
      <c r="S56" s="96"/>
      <c r="T56" s="161"/>
      <c r="U56" s="76"/>
    </row>
    <row r="57" spans="1:21" s="5" customFormat="1" ht="14.5" customHeight="1" x14ac:dyDescent="0.4">
      <c r="B57" s="23"/>
      <c r="C57" s="128">
        <v>3.3</v>
      </c>
      <c r="D57" s="25" t="s">
        <v>61</v>
      </c>
      <c r="G57" s="6" t="s">
        <v>19</v>
      </c>
      <c r="H57" s="132">
        <v>0</v>
      </c>
      <c r="J57" s="261">
        <f t="shared" si="1"/>
        <v>3.3</v>
      </c>
      <c r="K57" s="52"/>
      <c r="M57" s="200">
        <v>3</v>
      </c>
      <c r="N57" s="231" t="s">
        <v>62</v>
      </c>
      <c r="O57" s="211">
        <v>0</v>
      </c>
      <c r="P57" s="201" t="s">
        <v>23</v>
      </c>
      <c r="Q57" s="212"/>
      <c r="R57" s="107"/>
      <c r="S57" s="96"/>
      <c r="T57" s="161"/>
      <c r="U57" s="76"/>
    </row>
    <row r="58" spans="1:21" s="5" customFormat="1" ht="14.5" customHeight="1" x14ac:dyDescent="0.4">
      <c r="B58" s="23"/>
      <c r="C58" s="128">
        <v>3.4</v>
      </c>
      <c r="D58" s="25" t="s">
        <v>63</v>
      </c>
      <c r="G58" s="6" t="s">
        <v>19</v>
      </c>
      <c r="H58" s="132">
        <v>0</v>
      </c>
      <c r="J58" s="261">
        <f t="shared" si="1"/>
        <v>3.4</v>
      </c>
      <c r="K58" s="52"/>
      <c r="M58" s="200">
        <v>4</v>
      </c>
      <c r="N58" s="231" t="s">
        <v>64</v>
      </c>
      <c r="O58" s="211">
        <v>0</v>
      </c>
      <c r="P58" s="201" t="s">
        <v>23</v>
      </c>
      <c r="Q58" s="212"/>
      <c r="R58" s="107"/>
      <c r="S58" s="96"/>
      <c r="T58" s="161"/>
      <c r="U58" s="76"/>
    </row>
    <row r="59" spans="1:21" s="5" customFormat="1" ht="14.5" customHeight="1" x14ac:dyDescent="0.4">
      <c r="B59" s="23"/>
      <c r="C59" s="128">
        <v>3.5</v>
      </c>
      <c r="D59" s="25" t="s">
        <v>65</v>
      </c>
      <c r="G59" s="6" t="s">
        <v>19</v>
      </c>
      <c r="H59" s="132">
        <v>5</v>
      </c>
      <c r="J59" s="261">
        <f t="shared" si="1"/>
        <v>3.5</v>
      </c>
      <c r="K59" s="52"/>
      <c r="M59" s="200">
        <v>5</v>
      </c>
      <c r="N59" s="231" t="s">
        <v>66</v>
      </c>
      <c r="O59" s="211">
        <v>0</v>
      </c>
      <c r="P59" s="201" t="s">
        <v>23</v>
      </c>
      <c r="Q59" s="212"/>
      <c r="R59" s="107"/>
      <c r="S59" s="96"/>
      <c r="T59" s="161"/>
      <c r="U59" s="76"/>
    </row>
    <row r="60" spans="1:21" s="5" customFormat="1" ht="14.5" customHeight="1" x14ac:dyDescent="0.4">
      <c r="B60" s="23"/>
      <c r="C60" s="128">
        <v>3.6</v>
      </c>
      <c r="D60" s="25" t="s">
        <v>67</v>
      </c>
      <c r="G60" s="6" t="s">
        <v>19</v>
      </c>
      <c r="H60" s="132">
        <v>0</v>
      </c>
      <c r="J60" s="261">
        <f t="shared" si="1"/>
        <v>3.6</v>
      </c>
      <c r="K60" s="52"/>
      <c r="M60" s="200">
        <v>6</v>
      </c>
      <c r="N60" s="231" t="s">
        <v>68</v>
      </c>
      <c r="O60" s="211">
        <v>0</v>
      </c>
      <c r="P60" s="201" t="s">
        <v>23</v>
      </c>
      <c r="Q60" s="212"/>
      <c r="R60" s="107"/>
      <c r="S60" s="96"/>
      <c r="T60" s="161"/>
      <c r="U60" s="76"/>
    </row>
    <row r="61" spans="1:21" s="5" customFormat="1" ht="22" customHeight="1" thickBot="1" x14ac:dyDescent="0.45">
      <c r="B61" s="23"/>
      <c r="C61" s="128">
        <v>3.7</v>
      </c>
      <c r="D61" s="262" t="s">
        <v>69</v>
      </c>
      <c r="G61" s="6" t="s">
        <v>19</v>
      </c>
      <c r="H61" s="132">
        <v>5</v>
      </c>
      <c r="J61" s="261">
        <f t="shared" si="1"/>
        <v>3.7</v>
      </c>
      <c r="K61" s="52"/>
      <c r="M61" s="200">
        <v>7</v>
      </c>
      <c r="N61" s="231" t="s">
        <v>70</v>
      </c>
      <c r="O61" s="211">
        <v>0</v>
      </c>
      <c r="P61" s="201" t="s">
        <v>23</v>
      </c>
      <c r="Q61" s="212"/>
      <c r="R61" s="107"/>
      <c r="S61" s="96"/>
      <c r="T61" s="161"/>
      <c r="U61" s="76"/>
    </row>
    <row r="62" spans="1:21" s="5" customFormat="1" ht="14.5" customHeight="1" thickBot="1" x14ac:dyDescent="0.45">
      <c r="A62" s="38"/>
      <c r="B62" s="23"/>
      <c r="C62" s="121"/>
      <c r="J62" s="11"/>
      <c r="K62" s="11"/>
      <c r="M62" s="200">
        <v>8</v>
      </c>
      <c r="N62" s="231" t="s">
        <v>71</v>
      </c>
      <c r="O62" s="211">
        <v>5</v>
      </c>
      <c r="P62" s="201" t="s">
        <v>23</v>
      </c>
      <c r="Q62" s="212"/>
      <c r="R62" s="4"/>
      <c r="T62" s="160"/>
      <c r="U62" s="76"/>
    </row>
    <row r="63" spans="1:21" s="5" customFormat="1" ht="16" customHeight="1" thickBot="1" x14ac:dyDescent="0.45">
      <c r="A63" s="38"/>
      <c r="B63" s="31">
        <v>2</v>
      </c>
      <c r="C63" s="133" t="s">
        <v>72</v>
      </c>
      <c r="G63" s="86" t="s">
        <v>16</v>
      </c>
      <c r="H63" s="247">
        <f>(H65*4+H71*3+H76*3+H81*29)/39</f>
        <v>1.2269344969766911</v>
      </c>
      <c r="J63" s="11"/>
      <c r="K63" s="11"/>
      <c r="M63" s="200">
        <v>9</v>
      </c>
      <c r="N63" s="231" t="s">
        <v>73</v>
      </c>
      <c r="O63" s="211">
        <v>0</v>
      </c>
      <c r="P63" s="201" t="s">
        <v>23</v>
      </c>
      <c r="Q63" s="212"/>
      <c r="R63" s="4"/>
      <c r="T63" s="160"/>
      <c r="U63" s="76"/>
    </row>
    <row r="64" spans="1:21" s="5" customFormat="1" ht="14.5" customHeight="1" thickBot="1" x14ac:dyDescent="0.45">
      <c r="A64" s="38"/>
      <c r="B64" s="31"/>
      <c r="C64" s="28"/>
      <c r="G64" s="30"/>
      <c r="H64" s="249"/>
      <c r="J64" s="11"/>
      <c r="K64" s="11"/>
      <c r="M64" s="200">
        <v>10</v>
      </c>
      <c r="N64" s="231" t="s">
        <v>74</v>
      </c>
      <c r="O64" s="211">
        <v>0</v>
      </c>
      <c r="P64" s="201" t="s">
        <v>23</v>
      </c>
      <c r="Q64" s="212" t="s">
        <v>17</v>
      </c>
      <c r="R64" s="4"/>
      <c r="T64" s="160"/>
      <c r="U64" s="76"/>
    </row>
    <row r="65" spans="1:21" s="5" customFormat="1" ht="14.5" customHeight="1" x14ac:dyDescent="0.4">
      <c r="A65" s="38"/>
      <c r="B65" s="33">
        <v>1</v>
      </c>
      <c r="C65" s="127" t="s">
        <v>75</v>
      </c>
      <c r="G65" s="253" t="s">
        <v>21</v>
      </c>
      <c r="H65" s="134">
        <f>SUM(H66:H69)/4</f>
        <v>2.5</v>
      </c>
      <c r="I65" s="4"/>
      <c r="J65" s="11"/>
      <c r="K65" s="11"/>
      <c r="M65" s="200">
        <v>11</v>
      </c>
      <c r="N65" s="231" t="s">
        <v>76</v>
      </c>
      <c r="O65" s="211">
        <v>5</v>
      </c>
      <c r="P65" s="201" t="s">
        <v>23</v>
      </c>
      <c r="Q65" s="212"/>
      <c r="R65" s="4"/>
      <c r="T65" s="161"/>
      <c r="U65" s="76"/>
    </row>
    <row r="66" spans="1:21" s="5" customFormat="1" ht="14.5" customHeight="1" x14ac:dyDescent="0.4">
      <c r="A66" s="38"/>
      <c r="B66" s="33"/>
      <c r="C66" s="128">
        <v>1.1000000000000001</v>
      </c>
      <c r="D66" s="119" t="s">
        <v>77</v>
      </c>
      <c r="G66" s="6" t="s">
        <v>19</v>
      </c>
      <c r="H66" s="263">
        <v>5</v>
      </c>
      <c r="J66" s="256">
        <f>C66</f>
        <v>1.1000000000000001</v>
      </c>
      <c r="K66" s="52"/>
      <c r="M66" s="200">
        <v>12</v>
      </c>
      <c r="N66" s="231" t="s">
        <v>78</v>
      </c>
      <c r="O66" s="211">
        <v>0</v>
      </c>
      <c r="P66" s="201" t="s">
        <v>23</v>
      </c>
      <c r="Q66" s="212"/>
      <c r="R66" s="4"/>
      <c r="T66" s="161"/>
      <c r="U66" s="76"/>
    </row>
    <row r="67" spans="1:21" s="5" customFormat="1" ht="14.5" customHeight="1" x14ac:dyDescent="0.4">
      <c r="A67" s="38"/>
      <c r="B67" s="33"/>
      <c r="C67" s="128">
        <v>1.2</v>
      </c>
      <c r="D67" s="119" t="s">
        <v>79</v>
      </c>
      <c r="G67" s="6" t="s">
        <v>19</v>
      </c>
      <c r="H67" s="135">
        <v>0</v>
      </c>
      <c r="J67" s="256">
        <f>C67</f>
        <v>1.2</v>
      </c>
      <c r="K67" s="52"/>
      <c r="M67" s="200">
        <v>13</v>
      </c>
      <c r="N67" s="231" t="s">
        <v>80</v>
      </c>
      <c r="O67" s="211">
        <v>0</v>
      </c>
      <c r="P67" s="201" t="s">
        <v>23</v>
      </c>
      <c r="Q67" s="212"/>
      <c r="R67" s="4"/>
      <c r="T67" s="161"/>
      <c r="U67" s="76"/>
    </row>
    <row r="68" spans="1:21" s="5" customFormat="1" ht="14.5" customHeight="1" x14ac:dyDescent="0.4">
      <c r="A68" s="38"/>
      <c r="B68" s="33"/>
      <c r="C68" s="128">
        <v>1.3</v>
      </c>
      <c r="D68" s="119" t="s">
        <v>81</v>
      </c>
      <c r="G68" s="6" t="s">
        <v>19</v>
      </c>
      <c r="H68" s="135">
        <v>0</v>
      </c>
      <c r="J68" s="256">
        <f>C68</f>
        <v>1.3</v>
      </c>
      <c r="K68" s="52"/>
      <c r="M68" s="200">
        <v>14</v>
      </c>
      <c r="N68" s="231" t="s">
        <v>82</v>
      </c>
      <c r="O68" s="211">
        <v>0</v>
      </c>
      <c r="P68" s="201" t="s">
        <v>23</v>
      </c>
      <c r="Q68" s="212"/>
      <c r="R68" s="4"/>
      <c r="T68" s="161"/>
      <c r="U68" s="76"/>
    </row>
    <row r="69" spans="1:21" s="5" customFormat="1" ht="14.5" customHeight="1" thickBot="1" x14ac:dyDescent="0.45">
      <c r="A69" s="38"/>
      <c r="B69" s="33"/>
      <c r="C69" s="128">
        <v>1.4</v>
      </c>
      <c r="D69" s="119" t="s">
        <v>83</v>
      </c>
      <c r="G69" s="6" t="s">
        <v>19</v>
      </c>
      <c r="H69" s="135">
        <v>5</v>
      </c>
      <c r="I69" s="4"/>
      <c r="J69" s="256">
        <f>C69</f>
        <v>1.4</v>
      </c>
      <c r="K69" s="52"/>
      <c r="M69" s="200">
        <v>15</v>
      </c>
      <c r="N69" s="231" t="s">
        <v>84</v>
      </c>
      <c r="O69" s="211">
        <v>0</v>
      </c>
      <c r="P69" s="201" t="s">
        <v>23</v>
      </c>
      <c r="Q69" s="212"/>
      <c r="R69" s="4"/>
      <c r="T69" s="160"/>
      <c r="U69" s="76"/>
    </row>
    <row r="70" spans="1:21" s="5" customFormat="1" ht="14.5" customHeight="1" thickBot="1" x14ac:dyDescent="0.45">
      <c r="A70" s="38"/>
      <c r="B70" s="33"/>
      <c r="C70" s="128"/>
      <c r="D70" s="119"/>
      <c r="G70" s="6"/>
      <c r="H70" s="249"/>
      <c r="I70" s="4"/>
      <c r="J70" s="11"/>
      <c r="K70" s="11"/>
      <c r="M70" s="200">
        <v>16</v>
      </c>
      <c r="N70" s="231" t="s">
        <v>85</v>
      </c>
      <c r="O70" s="211">
        <v>0</v>
      </c>
      <c r="P70" s="201" t="s">
        <v>23</v>
      </c>
      <c r="Q70" s="212"/>
      <c r="R70" s="82"/>
      <c r="T70" s="160"/>
      <c r="U70" s="76"/>
    </row>
    <row r="71" spans="1:21" s="5" customFormat="1" ht="14.5" customHeight="1" x14ac:dyDescent="0.4">
      <c r="A71" s="38"/>
      <c r="B71" s="33">
        <v>2</v>
      </c>
      <c r="C71" s="264" t="s">
        <v>86</v>
      </c>
      <c r="D71" s="119"/>
      <c r="G71" s="253" t="s">
        <v>21</v>
      </c>
      <c r="H71" s="131">
        <f>(SUM(H72:H73)+IF(H74=Normalize!E26,5,IF(H74&lt;Normalize!E26,5,IF(H74&gt;Normalize!G26,0,5-((H74-Normalize!E26)/(Normalize!G26-Normalize!E26))*5))))/3</f>
        <v>3.3333333333333335</v>
      </c>
      <c r="I71" s="4"/>
      <c r="J71" s="11"/>
      <c r="K71" s="11"/>
      <c r="M71" s="200">
        <v>17</v>
      </c>
      <c r="N71" s="231" t="s">
        <v>87</v>
      </c>
      <c r="O71" s="211">
        <v>0</v>
      </c>
      <c r="P71" s="201" t="s">
        <v>23</v>
      </c>
      <c r="Q71" s="212"/>
      <c r="T71" s="161"/>
      <c r="U71" s="76"/>
    </row>
    <row r="72" spans="1:21" s="5" customFormat="1" ht="14.5" customHeight="1" x14ac:dyDescent="0.4">
      <c r="A72" s="38"/>
      <c r="B72" s="33"/>
      <c r="C72" s="128">
        <v>2.1</v>
      </c>
      <c r="D72" s="119" t="s">
        <v>88</v>
      </c>
      <c r="G72" s="6" t="s">
        <v>19</v>
      </c>
      <c r="H72" s="260">
        <v>5</v>
      </c>
      <c r="I72" s="4"/>
      <c r="J72" s="256">
        <f>C72</f>
        <v>2.1</v>
      </c>
      <c r="K72" s="52"/>
      <c r="M72" s="200">
        <v>18</v>
      </c>
      <c r="N72" s="231" t="s">
        <v>89</v>
      </c>
      <c r="O72" s="211">
        <v>0</v>
      </c>
      <c r="P72" s="201" t="s">
        <v>23</v>
      </c>
      <c r="Q72" s="212"/>
      <c r="T72" s="161"/>
      <c r="U72" s="76"/>
    </row>
    <row r="73" spans="1:21" s="5" customFormat="1" ht="14.5" customHeight="1" x14ac:dyDescent="0.4">
      <c r="A73" s="38"/>
      <c r="B73" s="33"/>
      <c r="C73" s="128">
        <v>2.2000000000000002</v>
      </c>
      <c r="D73" s="119" t="s">
        <v>90</v>
      </c>
      <c r="G73" s="6" t="s">
        <v>19</v>
      </c>
      <c r="H73" s="136">
        <v>0</v>
      </c>
      <c r="I73" s="4"/>
      <c r="J73" s="256">
        <f>C73</f>
        <v>2.2000000000000002</v>
      </c>
      <c r="K73" s="52"/>
      <c r="M73" s="213">
        <v>19</v>
      </c>
      <c r="N73" s="233" t="s">
        <v>91</v>
      </c>
      <c r="O73" s="215">
        <v>0</v>
      </c>
      <c r="P73" s="214" t="s">
        <v>23</v>
      </c>
      <c r="Q73" s="216"/>
      <c r="R73" s="73"/>
      <c r="T73" s="161"/>
      <c r="U73" s="76"/>
    </row>
    <row r="74" spans="1:21" s="5" customFormat="1" ht="18" customHeight="1" thickBot="1" x14ac:dyDescent="0.45">
      <c r="A74" s="38"/>
      <c r="B74" s="33"/>
      <c r="C74" s="128">
        <v>2.2999999999999998</v>
      </c>
      <c r="D74" s="119" t="s">
        <v>92</v>
      </c>
      <c r="G74" s="6" t="s">
        <v>25</v>
      </c>
      <c r="H74" s="132">
        <v>5</v>
      </c>
      <c r="I74" s="4"/>
      <c r="J74" s="256">
        <f>C74</f>
        <v>2.2999999999999998</v>
      </c>
      <c r="K74" s="52"/>
      <c r="M74" s="200">
        <v>20</v>
      </c>
      <c r="N74" s="231" t="s">
        <v>93</v>
      </c>
      <c r="O74" s="211">
        <v>0</v>
      </c>
      <c r="P74" s="201" t="s">
        <v>26</v>
      </c>
      <c r="Q74" s="212"/>
      <c r="T74" s="160"/>
      <c r="U74" s="76"/>
    </row>
    <row r="75" spans="1:21" s="5" customFormat="1" ht="14.5" customHeight="1" thickBot="1" x14ac:dyDescent="0.45">
      <c r="A75" s="38"/>
      <c r="B75" s="33"/>
      <c r="D75" s="25"/>
      <c r="G75" s="6"/>
      <c r="H75" s="40"/>
      <c r="I75" s="4"/>
      <c r="J75" s="11"/>
      <c r="K75" s="11"/>
      <c r="L75" s="22"/>
      <c r="M75" s="200">
        <v>21</v>
      </c>
      <c r="N75" s="231" t="s">
        <v>94</v>
      </c>
      <c r="O75" s="211">
        <v>0</v>
      </c>
      <c r="P75" s="201" t="s">
        <v>26</v>
      </c>
      <c r="Q75" s="212"/>
      <c r="T75" s="160"/>
      <c r="U75" s="76"/>
    </row>
    <row r="76" spans="1:21" s="5" customFormat="1" ht="14.5" customHeight="1" x14ac:dyDescent="0.4">
      <c r="A76" s="38"/>
      <c r="B76" s="33">
        <v>3</v>
      </c>
      <c r="C76" s="265" t="s">
        <v>95</v>
      </c>
      <c r="D76" s="266"/>
      <c r="G76" s="130" t="s">
        <v>21</v>
      </c>
      <c r="H76" s="131">
        <f>((H77/9)*5+(H78/79)*5+H79)/3</f>
        <v>0.33286451007969997</v>
      </c>
      <c r="I76" s="4"/>
      <c r="J76" s="11"/>
      <c r="K76" s="11"/>
      <c r="M76" s="200">
        <v>22</v>
      </c>
      <c r="N76" s="231" t="s">
        <v>96</v>
      </c>
      <c r="O76" s="211">
        <v>5</v>
      </c>
      <c r="P76" s="201" t="s">
        <v>26</v>
      </c>
      <c r="Q76" s="212" t="s">
        <v>53</v>
      </c>
      <c r="T76" s="161"/>
      <c r="U76" s="76"/>
    </row>
    <row r="77" spans="1:21" s="5" customFormat="1" ht="14.5" customHeight="1" x14ac:dyDescent="0.4">
      <c r="A77" s="38"/>
      <c r="B77" s="33"/>
      <c r="C77" s="128" t="s">
        <v>97</v>
      </c>
      <c r="D77" s="119" t="s">
        <v>98</v>
      </c>
      <c r="G77" s="43" t="s">
        <v>99</v>
      </c>
      <c r="H77" s="234">
        <f>O44</f>
        <v>1</v>
      </c>
      <c r="I77" s="145" t="s">
        <v>21</v>
      </c>
      <c r="J77" s="256" t="str">
        <f>C77</f>
        <v>2.1</v>
      </c>
      <c r="K77" s="52"/>
      <c r="M77" s="200">
        <v>23</v>
      </c>
      <c r="N77" s="231" t="s">
        <v>100</v>
      </c>
      <c r="O77" s="211">
        <v>0</v>
      </c>
      <c r="P77" s="201" t="s">
        <v>26</v>
      </c>
      <c r="Q77" s="212"/>
      <c r="T77" s="161"/>
      <c r="U77" s="76"/>
    </row>
    <row r="78" spans="1:21" s="5" customFormat="1" ht="14.5" customHeight="1" thickBot="1" x14ac:dyDescent="0.45">
      <c r="A78" s="38"/>
      <c r="B78" s="33"/>
      <c r="C78" s="128" t="s">
        <v>101</v>
      </c>
      <c r="D78" s="119" t="s">
        <v>102</v>
      </c>
      <c r="G78" s="43" t="s">
        <v>103</v>
      </c>
      <c r="H78" s="234">
        <f>O134</f>
        <v>7</v>
      </c>
      <c r="I78" s="145" t="s">
        <v>21</v>
      </c>
      <c r="J78" s="256" t="str">
        <f>C78</f>
        <v>2.2</v>
      </c>
      <c r="K78" s="52"/>
      <c r="M78" s="213">
        <v>24</v>
      </c>
      <c r="N78" s="233" t="s">
        <v>104</v>
      </c>
      <c r="O78" s="215">
        <v>0</v>
      </c>
      <c r="P78" s="214" t="s">
        <v>26</v>
      </c>
      <c r="Q78" s="216"/>
      <c r="R78" s="4"/>
      <c r="T78" s="161"/>
      <c r="U78" s="76"/>
    </row>
    <row r="79" spans="1:21" s="5" customFormat="1" ht="19" customHeight="1" thickBot="1" x14ac:dyDescent="0.45">
      <c r="A79" s="38"/>
      <c r="B79" s="33"/>
      <c r="C79" s="128" t="s">
        <v>105</v>
      </c>
      <c r="D79" s="119" t="s">
        <v>106</v>
      </c>
      <c r="G79" s="6" t="s">
        <v>19</v>
      </c>
      <c r="H79" s="137">
        <v>0</v>
      </c>
      <c r="I79" s="4"/>
      <c r="J79" s="256" t="str">
        <f>C79</f>
        <v>2.3</v>
      </c>
      <c r="K79" s="52"/>
      <c r="M79" s="200">
        <v>25</v>
      </c>
      <c r="N79" s="231" t="s">
        <v>107</v>
      </c>
      <c r="O79" s="211">
        <v>0</v>
      </c>
      <c r="P79" s="201" t="s">
        <v>28</v>
      </c>
      <c r="Q79" s="212"/>
      <c r="R79" s="4"/>
      <c r="T79" s="160"/>
      <c r="U79" s="76"/>
    </row>
    <row r="80" spans="1:21" s="5" customFormat="1" ht="14.5" customHeight="1" thickBot="1" x14ac:dyDescent="0.45">
      <c r="A80" s="38"/>
      <c r="B80" s="23"/>
      <c r="C80" s="24"/>
      <c r="D80" s="25"/>
      <c r="G80" s="43"/>
      <c r="H80" s="40"/>
      <c r="I80" s="31"/>
      <c r="J80" s="11"/>
      <c r="K80" s="11"/>
      <c r="M80" s="200">
        <v>26</v>
      </c>
      <c r="N80" s="231" t="s">
        <v>108</v>
      </c>
      <c r="O80" s="211">
        <v>0</v>
      </c>
      <c r="P80" s="201" t="s">
        <v>28</v>
      </c>
      <c r="Q80" s="212"/>
      <c r="R80" s="4"/>
      <c r="T80" s="160"/>
      <c r="U80" s="76"/>
    </row>
    <row r="81" spans="1:21" s="5" customFormat="1" ht="14.5" customHeight="1" thickBot="1" x14ac:dyDescent="0.45">
      <c r="A81" s="38"/>
      <c r="B81" s="33">
        <v>4</v>
      </c>
      <c r="C81" s="127" t="s">
        <v>109</v>
      </c>
      <c r="D81" s="119"/>
      <c r="G81" s="130" t="s">
        <v>110</v>
      </c>
      <c r="H81" s="131">
        <f>(H82*7+H90*22)/29</f>
        <v>0.92592592592592593</v>
      </c>
      <c r="I81" s="31"/>
      <c r="J81" s="11"/>
      <c r="K81" s="11"/>
      <c r="M81" s="200">
        <v>27</v>
      </c>
      <c r="N81" s="231" t="s">
        <v>111</v>
      </c>
      <c r="O81" s="211">
        <v>0</v>
      </c>
      <c r="P81" s="201" t="s">
        <v>28</v>
      </c>
      <c r="Q81" s="212"/>
      <c r="R81" s="4"/>
      <c r="T81" s="160"/>
      <c r="U81" s="76"/>
    </row>
    <row r="82" spans="1:21" s="5" customFormat="1" ht="14.5" customHeight="1" x14ac:dyDescent="0.4">
      <c r="A82" s="38"/>
      <c r="B82" s="33"/>
      <c r="C82" s="128">
        <v>4.0999999999999996</v>
      </c>
      <c r="D82" s="138" t="s">
        <v>112</v>
      </c>
      <c r="G82" s="130" t="s">
        <v>21</v>
      </c>
      <c r="H82" s="141">
        <f>((H83/9)*5+(H84/79)*5+H85)/3</f>
        <v>0.92592592592592593</v>
      </c>
      <c r="I82" s="31"/>
      <c r="J82" s="11"/>
      <c r="K82" s="11"/>
      <c r="M82" s="200">
        <v>28</v>
      </c>
      <c r="N82" s="231" t="s">
        <v>113</v>
      </c>
      <c r="O82" s="211">
        <v>0</v>
      </c>
      <c r="P82" s="201" t="s">
        <v>28</v>
      </c>
      <c r="Q82" s="212"/>
      <c r="R82" s="4"/>
      <c r="T82" s="161"/>
      <c r="U82" s="76"/>
    </row>
    <row r="83" spans="1:21" s="5" customFormat="1" ht="14.5" customHeight="1" x14ac:dyDescent="0.4">
      <c r="A83" s="38"/>
      <c r="B83" s="33"/>
      <c r="D83" s="5" t="s">
        <v>114</v>
      </c>
      <c r="E83" s="50" t="s">
        <v>115</v>
      </c>
      <c r="F83" s="50"/>
      <c r="G83" s="6" t="s">
        <v>19</v>
      </c>
      <c r="H83" s="135">
        <v>5</v>
      </c>
      <c r="I83" s="31"/>
      <c r="J83" s="256" t="str">
        <f t="shared" ref="J83:J89" si="2">D83</f>
        <v>4.1.1</v>
      </c>
      <c r="K83" s="52"/>
      <c r="M83" s="200">
        <v>29</v>
      </c>
      <c r="N83" s="231" t="s">
        <v>116</v>
      </c>
      <c r="O83" s="211">
        <v>0</v>
      </c>
      <c r="P83" s="201" t="s">
        <v>28</v>
      </c>
      <c r="Q83" s="212"/>
      <c r="R83" s="4"/>
      <c r="T83" s="161"/>
      <c r="U83" s="76"/>
    </row>
    <row r="84" spans="1:21" s="5" customFormat="1" ht="14.5" customHeight="1" x14ac:dyDescent="0.4">
      <c r="A84" s="38"/>
      <c r="B84" s="23"/>
      <c r="C84" s="24"/>
      <c r="D84" s="5" t="s">
        <v>117</v>
      </c>
      <c r="E84" s="50" t="s">
        <v>118</v>
      </c>
      <c r="F84" s="50"/>
      <c r="G84" s="6" t="s">
        <v>19</v>
      </c>
      <c r="H84" s="135">
        <v>0</v>
      </c>
      <c r="I84" s="31"/>
      <c r="J84" s="256" t="str">
        <f t="shared" si="2"/>
        <v>4.1.2</v>
      </c>
      <c r="K84" s="52"/>
      <c r="M84" s="200">
        <v>30</v>
      </c>
      <c r="N84" s="231" t="s">
        <v>119</v>
      </c>
      <c r="O84" s="211">
        <v>0</v>
      </c>
      <c r="P84" s="201" t="s">
        <v>28</v>
      </c>
      <c r="Q84" s="212"/>
      <c r="R84" s="4"/>
      <c r="T84" s="161"/>
      <c r="U84" s="76"/>
    </row>
    <row r="85" spans="1:21" s="5" customFormat="1" ht="14.5" customHeight="1" x14ac:dyDescent="0.4">
      <c r="A85" s="38"/>
      <c r="B85" s="23"/>
      <c r="C85" s="24"/>
      <c r="D85" s="5" t="s">
        <v>120</v>
      </c>
      <c r="E85" s="50" t="s">
        <v>121</v>
      </c>
      <c r="F85" s="50"/>
      <c r="G85" s="6" t="s">
        <v>19</v>
      </c>
      <c r="H85" s="135">
        <v>0</v>
      </c>
      <c r="I85" s="31"/>
      <c r="J85" s="256" t="str">
        <f t="shared" si="2"/>
        <v>4.1.3</v>
      </c>
      <c r="K85" s="52"/>
      <c r="L85" s="31"/>
      <c r="M85" s="200">
        <v>31</v>
      </c>
      <c r="N85" s="231" t="s">
        <v>122</v>
      </c>
      <c r="O85" s="211">
        <v>0</v>
      </c>
      <c r="P85" s="201" t="s">
        <v>28</v>
      </c>
      <c r="Q85" s="212" t="s">
        <v>123</v>
      </c>
      <c r="R85" s="4"/>
      <c r="T85" s="161"/>
      <c r="U85" s="76"/>
    </row>
    <row r="86" spans="1:21" s="5" customFormat="1" ht="14.5" customHeight="1" x14ac:dyDescent="0.4">
      <c r="A86" s="38"/>
      <c r="B86" s="23"/>
      <c r="C86" s="24"/>
      <c r="D86" s="5" t="s">
        <v>124</v>
      </c>
      <c r="E86" s="140" t="s">
        <v>125</v>
      </c>
      <c r="F86" s="140"/>
      <c r="G86" s="6" t="s">
        <v>19</v>
      </c>
      <c r="H86" s="135">
        <v>5</v>
      </c>
      <c r="I86" s="31"/>
      <c r="J86" s="256" t="str">
        <f t="shared" si="2"/>
        <v>4.1.4</v>
      </c>
      <c r="K86" s="52"/>
      <c r="L86" s="31"/>
      <c r="M86" s="200">
        <v>32</v>
      </c>
      <c r="N86" s="231" t="s">
        <v>126</v>
      </c>
      <c r="O86" s="211">
        <v>0</v>
      </c>
      <c r="P86" s="201" t="s">
        <v>28</v>
      </c>
      <c r="Q86" s="212"/>
      <c r="R86" s="4"/>
      <c r="T86" s="161"/>
      <c r="U86" s="76"/>
    </row>
    <row r="87" spans="1:21" s="5" customFormat="1" ht="14.5" customHeight="1" x14ac:dyDescent="0.4">
      <c r="A87" s="38"/>
      <c r="B87" s="23"/>
      <c r="C87" s="24"/>
      <c r="D87" s="5" t="s">
        <v>127</v>
      </c>
      <c r="E87" s="140" t="s">
        <v>118</v>
      </c>
      <c r="F87" s="140"/>
      <c r="G87" s="6" t="s">
        <v>19</v>
      </c>
      <c r="H87" s="135">
        <v>5</v>
      </c>
      <c r="I87" s="31"/>
      <c r="J87" s="256" t="str">
        <f t="shared" si="2"/>
        <v>4.1.5</v>
      </c>
      <c r="K87" s="52"/>
      <c r="L87" s="31"/>
      <c r="M87" s="200">
        <v>33</v>
      </c>
      <c r="N87" s="231" t="s">
        <v>128</v>
      </c>
      <c r="O87" s="211">
        <v>0</v>
      </c>
      <c r="P87" s="201" t="s">
        <v>28</v>
      </c>
      <c r="Q87" s="212"/>
      <c r="R87" s="4"/>
      <c r="T87" s="161"/>
      <c r="U87" s="76"/>
    </row>
    <row r="88" spans="1:21" s="5" customFormat="1" ht="14.5" customHeight="1" thickBot="1" x14ac:dyDescent="0.45">
      <c r="A88" s="38"/>
      <c r="B88" s="23"/>
      <c r="C88" s="24"/>
      <c r="D88" s="5" t="s">
        <v>129</v>
      </c>
      <c r="E88" s="140" t="s">
        <v>130</v>
      </c>
      <c r="F88" s="140"/>
      <c r="G88" s="6" t="s">
        <v>19</v>
      </c>
      <c r="H88" s="135">
        <v>0</v>
      </c>
      <c r="I88" s="31"/>
      <c r="J88" s="256" t="str">
        <f t="shared" si="2"/>
        <v>4.1.6</v>
      </c>
      <c r="K88" s="52"/>
      <c r="L88" s="31"/>
      <c r="M88" s="200">
        <v>34</v>
      </c>
      <c r="N88" s="231" t="s">
        <v>131</v>
      </c>
      <c r="O88" s="211">
        <v>0</v>
      </c>
      <c r="P88" s="201" t="s">
        <v>28</v>
      </c>
      <c r="Q88" s="212"/>
      <c r="R88" s="4"/>
      <c r="T88" s="161"/>
      <c r="U88" s="76"/>
    </row>
    <row r="89" spans="1:21" s="5" customFormat="1" ht="14.5" customHeight="1" thickBot="1" x14ac:dyDescent="0.45">
      <c r="A89" s="38"/>
      <c r="B89" s="23"/>
      <c r="C89" s="24"/>
      <c r="D89" s="5" t="s">
        <v>132</v>
      </c>
      <c r="E89" s="140" t="s">
        <v>133</v>
      </c>
      <c r="F89" s="140"/>
      <c r="G89" s="6" t="s">
        <v>19</v>
      </c>
      <c r="H89" s="135">
        <v>0</v>
      </c>
      <c r="I89" s="31"/>
      <c r="J89" s="256" t="str">
        <f t="shared" si="2"/>
        <v>4.1.7</v>
      </c>
      <c r="K89" s="52"/>
      <c r="L89" s="31"/>
      <c r="M89" s="200">
        <v>35</v>
      </c>
      <c r="N89" s="231" t="s">
        <v>134</v>
      </c>
      <c r="O89" s="211">
        <v>0</v>
      </c>
      <c r="P89" s="201" t="s">
        <v>28</v>
      </c>
      <c r="Q89" s="212"/>
      <c r="R89" s="4"/>
      <c r="T89" s="160"/>
      <c r="U89" s="76"/>
    </row>
    <row r="90" spans="1:21" s="5" customFormat="1" ht="14.5" customHeight="1" x14ac:dyDescent="0.4">
      <c r="A90" s="38"/>
      <c r="B90" s="23"/>
      <c r="C90" s="139">
        <v>4.2</v>
      </c>
      <c r="D90" s="138" t="s">
        <v>135</v>
      </c>
      <c r="E90" s="25"/>
      <c r="F90" s="25"/>
      <c r="G90" s="130" t="s">
        <v>21</v>
      </c>
      <c r="H90" s="141">
        <f>((H91/9)*5+(H92/79)*5+H93)/3</f>
        <v>0.92592592592592593</v>
      </c>
      <c r="I90" s="31"/>
      <c r="J90" s="11"/>
      <c r="K90" s="11"/>
      <c r="L90" s="31"/>
      <c r="M90" s="200">
        <v>36</v>
      </c>
      <c r="N90" s="231" t="s">
        <v>136</v>
      </c>
      <c r="O90" s="211">
        <v>0</v>
      </c>
      <c r="P90" s="201" t="s">
        <v>28</v>
      </c>
      <c r="Q90" s="212"/>
      <c r="R90" s="4"/>
      <c r="T90" s="161"/>
      <c r="U90" s="76"/>
    </row>
    <row r="91" spans="1:21" s="5" customFormat="1" ht="14.5" customHeight="1" thickBot="1" x14ac:dyDescent="0.45">
      <c r="A91" s="38"/>
      <c r="B91" s="23"/>
      <c r="C91" s="24"/>
      <c r="D91" s="5" t="s">
        <v>137</v>
      </c>
      <c r="E91" s="25" t="s">
        <v>138</v>
      </c>
      <c r="F91" s="25"/>
      <c r="G91" s="6" t="s">
        <v>19</v>
      </c>
      <c r="H91" s="135">
        <v>5</v>
      </c>
      <c r="I91" s="31"/>
      <c r="J91" s="256" t="str">
        <f t="shared" ref="J91:J112" si="3">D91</f>
        <v>4.2.1</v>
      </c>
      <c r="K91" s="52"/>
      <c r="L91" s="31"/>
      <c r="M91" s="213">
        <v>37</v>
      </c>
      <c r="N91" s="233" t="s">
        <v>139</v>
      </c>
      <c r="O91" s="215">
        <v>0</v>
      </c>
      <c r="P91" s="214" t="s">
        <v>28</v>
      </c>
      <c r="Q91" s="216"/>
      <c r="R91" s="4"/>
      <c r="T91" s="161"/>
      <c r="U91" s="76"/>
    </row>
    <row r="92" spans="1:21" s="5" customFormat="1" ht="14.5" customHeight="1" x14ac:dyDescent="0.4">
      <c r="A92" s="38"/>
      <c r="B92" s="23"/>
      <c r="C92" s="24"/>
      <c r="D92" s="5" t="s">
        <v>140</v>
      </c>
      <c r="E92" s="25" t="s">
        <v>141</v>
      </c>
      <c r="F92" s="25"/>
      <c r="G92" s="6" t="s">
        <v>19</v>
      </c>
      <c r="H92" s="135">
        <v>0</v>
      </c>
      <c r="I92" s="31"/>
      <c r="J92" s="256" t="str">
        <f t="shared" si="3"/>
        <v>4.2.2</v>
      </c>
      <c r="K92" s="52"/>
      <c r="L92" s="31"/>
      <c r="M92" s="200">
        <v>38</v>
      </c>
      <c r="N92" s="231" t="s">
        <v>142</v>
      </c>
      <c r="O92" s="211">
        <v>0</v>
      </c>
      <c r="P92" s="201" t="s">
        <v>30</v>
      </c>
      <c r="Q92" s="212"/>
      <c r="R92" s="4"/>
      <c r="T92" s="161"/>
      <c r="U92" s="76"/>
    </row>
    <row r="93" spans="1:21" s="5" customFormat="1" ht="14.5" customHeight="1" x14ac:dyDescent="0.4">
      <c r="A93" s="38"/>
      <c r="B93" s="23"/>
      <c r="C93" s="24"/>
      <c r="D93" s="5" t="s">
        <v>143</v>
      </c>
      <c r="E93" s="25" t="s">
        <v>144</v>
      </c>
      <c r="F93" s="25"/>
      <c r="G93" s="6" t="s">
        <v>19</v>
      </c>
      <c r="H93" s="135">
        <v>0</v>
      </c>
      <c r="I93" s="31"/>
      <c r="J93" s="256" t="str">
        <f t="shared" si="3"/>
        <v>4.2.3</v>
      </c>
      <c r="K93" s="52"/>
      <c r="L93" s="31"/>
      <c r="M93" s="200">
        <v>39</v>
      </c>
      <c r="N93" s="231" t="s">
        <v>145</v>
      </c>
      <c r="O93" s="211">
        <v>0</v>
      </c>
      <c r="P93" s="201" t="s">
        <v>30</v>
      </c>
      <c r="Q93" s="212"/>
      <c r="R93" s="4"/>
      <c r="T93" s="161"/>
      <c r="U93" s="76"/>
    </row>
    <row r="94" spans="1:21" s="5" customFormat="1" ht="14.5" customHeight="1" x14ac:dyDescent="0.4">
      <c r="A94" s="38"/>
      <c r="B94" s="23"/>
      <c r="C94" s="24"/>
      <c r="D94" s="5" t="s">
        <v>146</v>
      </c>
      <c r="E94" s="25" t="s">
        <v>147</v>
      </c>
      <c r="F94" s="25"/>
      <c r="G94" s="6" t="s">
        <v>19</v>
      </c>
      <c r="H94" s="135">
        <v>5</v>
      </c>
      <c r="I94" s="31"/>
      <c r="J94" s="256" t="str">
        <f t="shared" si="3"/>
        <v>4.2.4</v>
      </c>
      <c r="K94" s="52"/>
      <c r="L94" s="31"/>
      <c r="M94" s="200">
        <v>40</v>
      </c>
      <c r="N94" s="231" t="s">
        <v>148</v>
      </c>
      <c r="O94" s="211">
        <v>0</v>
      </c>
      <c r="P94" s="201" t="s">
        <v>30</v>
      </c>
      <c r="Q94" s="212"/>
      <c r="R94" s="4"/>
      <c r="T94" s="161"/>
      <c r="U94" s="76"/>
    </row>
    <row r="95" spans="1:21" s="5" customFormat="1" ht="14.5" customHeight="1" x14ac:dyDescent="0.4">
      <c r="A95" s="38"/>
      <c r="B95" s="23"/>
      <c r="C95" s="24"/>
      <c r="D95" s="5" t="s">
        <v>149</v>
      </c>
      <c r="E95" s="25" t="s">
        <v>150</v>
      </c>
      <c r="F95" s="25"/>
      <c r="G95" s="6" t="s">
        <v>19</v>
      </c>
      <c r="H95" s="135">
        <v>5</v>
      </c>
      <c r="I95" s="31"/>
      <c r="J95" s="256" t="str">
        <f t="shared" si="3"/>
        <v>4.2.5</v>
      </c>
      <c r="K95" s="52"/>
      <c r="L95" s="31"/>
      <c r="M95" s="200">
        <v>41</v>
      </c>
      <c r="N95" s="231" t="s">
        <v>151</v>
      </c>
      <c r="O95" s="211">
        <v>0</v>
      </c>
      <c r="P95" s="201" t="s">
        <v>30</v>
      </c>
      <c r="Q95" s="212"/>
      <c r="R95" s="4"/>
      <c r="T95" s="161"/>
      <c r="U95" s="76"/>
    </row>
    <row r="96" spans="1:21" s="5" customFormat="1" ht="14.5" customHeight="1" x14ac:dyDescent="0.4">
      <c r="A96" s="38"/>
      <c r="B96" s="23"/>
      <c r="C96" s="24"/>
      <c r="D96" s="5" t="s">
        <v>152</v>
      </c>
      <c r="E96" s="25" t="s">
        <v>153</v>
      </c>
      <c r="F96" s="25"/>
      <c r="G96" s="6" t="s">
        <v>19</v>
      </c>
      <c r="H96" s="135">
        <v>0</v>
      </c>
      <c r="I96" s="31"/>
      <c r="J96" s="256" t="str">
        <f t="shared" si="3"/>
        <v>4.2.6</v>
      </c>
      <c r="K96" s="52"/>
      <c r="L96" s="31"/>
      <c r="M96" s="200">
        <v>42</v>
      </c>
      <c r="N96" s="231" t="s">
        <v>154</v>
      </c>
      <c r="O96" s="211">
        <v>0</v>
      </c>
      <c r="P96" s="201" t="s">
        <v>30</v>
      </c>
      <c r="Q96" s="212" t="s">
        <v>155</v>
      </c>
      <c r="R96" s="4"/>
      <c r="T96" s="161"/>
      <c r="U96" s="76"/>
    </row>
    <row r="97" spans="1:21" s="5" customFormat="1" ht="14.5" customHeight="1" x14ac:dyDescent="0.4">
      <c r="A97" s="38"/>
      <c r="B97" s="23"/>
      <c r="C97" s="24"/>
      <c r="D97" s="5" t="s">
        <v>156</v>
      </c>
      <c r="E97" s="25" t="s">
        <v>157</v>
      </c>
      <c r="F97" s="25"/>
      <c r="G97" s="6" t="s">
        <v>19</v>
      </c>
      <c r="H97" s="135">
        <v>0</v>
      </c>
      <c r="I97" s="31"/>
      <c r="J97" s="256" t="str">
        <f t="shared" si="3"/>
        <v>4.2.7</v>
      </c>
      <c r="K97" s="52"/>
      <c r="L97" s="31"/>
      <c r="M97" s="200">
        <v>43</v>
      </c>
      <c r="N97" s="231" t="s">
        <v>158</v>
      </c>
      <c r="O97" s="211">
        <v>0</v>
      </c>
      <c r="P97" s="201" t="s">
        <v>30</v>
      </c>
      <c r="Q97" s="212"/>
      <c r="R97" s="4"/>
      <c r="T97" s="161"/>
      <c r="U97" s="76"/>
    </row>
    <row r="98" spans="1:21" s="5" customFormat="1" ht="14.5" customHeight="1" x14ac:dyDescent="0.4">
      <c r="A98" s="38"/>
      <c r="B98" s="23"/>
      <c r="C98" s="24"/>
      <c r="D98" s="5" t="s">
        <v>159</v>
      </c>
      <c r="E98" s="25" t="s">
        <v>160</v>
      </c>
      <c r="F98" s="25"/>
      <c r="G98" s="6" t="s">
        <v>19</v>
      </c>
      <c r="H98" s="135">
        <v>5</v>
      </c>
      <c r="I98" s="31"/>
      <c r="J98" s="256" t="str">
        <f t="shared" si="3"/>
        <v>4.2.8</v>
      </c>
      <c r="K98" s="52"/>
      <c r="L98" s="31"/>
      <c r="M98" s="200">
        <v>44</v>
      </c>
      <c r="N98" s="231" t="s">
        <v>161</v>
      </c>
      <c r="O98" s="211">
        <v>0</v>
      </c>
      <c r="P98" s="201" t="s">
        <v>30</v>
      </c>
      <c r="Q98" s="212"/>
      <c r="R98" s="4"/>
      <c r="T98" s="161"/>
      <c r="U98" s="76"/>
    </row>
    <row r="99" spans="1:21" s="5" customFormat="1" ht="14.5" customHeight="1" x14ac:dyDescent="0.4">
      <c r="A99" s="38"/>
      <c r="B99" s="23"/>
      <c r="C99" s="24"/>
      <c r="D99" s="5" t="s">
        <v>162</v>
      </c>
      <c r="E99" s="25" t="s">
        <v>163</v>
      </c>
      <c r="F99" s="25"/>
      <c r="G99" s="6" t="s">
        <v>19</v>
      </c>
      <c r="H99" s="135">
        <v>5</v>
      </c>
      <c r="I99" s="31"/>
      <c r="J99" s="256" t="str">
        <f t="shared" si="3"/>
        <v>4.2.9</v>
      </c>
      <c r="K99" s="52"/>
      <c r="L99" s="31"/>
      <c r="M99" s="200">
        <v>45</v>
      </c>
      <c r="N99" s="231" t="s">
        <v>164</v>
      </c>
      <c r="O99" s="211">
        <v>5</v>
      </c>
      <c r="P99" s="201" t="s">
        <v>30</v>
      </c>
      <c r="Q99" s="212"/>
      <c r="R99" s="4"/>
      <c r="T99" s="161"/>
      <c r="U99" s="76"/>
    </row>
    <row r="100" spans="1:21" s="5" customFormat="1" ht="14.5" customHeight="1" thickBot="1" x14ac:dyDescent="0.45">
      <c r="A100" s="38"/>
      <c r="B100" s="23"/>
      <c r="C100" s="24"/>
      <c r="D100" s="5" t="s">
        <v>165</v>
      </c>
      <c r="E100" s="25" t="s">
        <v>166</v>
      </c>
      <c r="F100" s="25"/>
      <c r="G100" s="6" t="s">
        <v>19</v>
      </c>
      <c r="H100" s="135">
        <v>0</v>
      </c>
      <c r="I100" s="31"/>
      <c r="J100" s="256" t="str">
        <f t="shared" si="3"/>
        <v>4.2.10</v>
      </c>
      <c r="K100" s="52"/>
      <c r="L100" s="31"/>
      <c r="M100" s="213">
        <v>46</v>
      </c>
      <c r="N100" s="233" t="s">
        <v>167</v>
      </c>
      <c r="O100" s="215">
        <v>0</v>
      </c>
      <c r="P100" s="214" t="s">
        <v>30</v>
      </c>
      <c r="Q100" s="216"/>
      <c r="R100" s="4"/>
      <c r="T100" s="161"/>
      <c r="U100" s="76"/>
    </row>
    <row r="101" spans="1:21" s="5" customFormat="1" ht="14.5" customHeight="1" x14ac:dyDescent="0.4">
      <c r="A101" s="38"/>
      <c r="B101" s="23"/>
      <c r="C101" s="24"/>
      <c r="D101" s="5" t="s">
        <v>168</v>
      </c>
      <c r="E101" s="25" t="s">
        <v>169</v>
      </c>
      <c r="F101" s="25"/>
      <c r="G101" s="6" t="s">
        <v>19</v>
      </c>
      <c r="H101" s="135">
        <v>0</v>
      </c>
      <c r="I101" s="31"/>
      <c r="J101" s="256" t="str">
        <f t="shared" si="3"/>
        <v>4.2.11</v>
      </c>
      <c r="K101" s="52"/>
      <c r="L101" s="31"/>
      <c r="M101" s="200">
        <v>47</v>
      </c>
      <c r="N101" s="231" t="s">
        <v>170</v>
      </c>
      <c r="O101" s="211">
        <v>0</v>
      </c>
      <c r="P101" s="201" t="s">
        <v>47</v>
      </c>
      <c r="Q101" s="212"/>
      <c r="R101" s="4"/>
      <c r="T101" s="161"/>
      <c r="U101" s="76"/>
    </row>
    <row r="102" spans="1:21" s="5" customFormat="1" ht="14.5" customHeight="1" x14ac:dyDescent="0.4">
      <c r="A102" s="38"/>
      <c r="B102" s="23"/>
      <c r="C102" s="24"/>
      <c r="D102" s="5" t="s">
        <v>171</v>
      </c>
      <c r="E102" s="25" t="s">
        <v>172</v>
      </c>
      <c r="F102" s="25"/>
      <c r="G102" s="6" t="s">
        <v>19</v>
      </c>
      <c r="H102" s="135">
        <v>5</v>
      </c>
      <c r="I102" s="31"/>
      <c r="J102" s="256" t="str">
        <f t="shared" si="3"/>
        <v>4.2.12</v>
      </c>
      <c r="K102" s="52"/>
      <c r="L102" s="31"/>
      <c r="M102" s="200">
        <v>48</v>
      </c>
      <c r="N102" s="231" t="s">
        <v>173</v>
      </c>
      <c r="O102" s="211">
        <v>0</v>
      </c>
      <c r="P102" s="201" t="s">
        <v>47</v>
      </c>
      <c r="Q102" s="212"/>
      <c r="R102" s="4"/>
      <c r="T102" s="161"/>
      <c r="U102" s="76"/>
    </row>
    <row r="103" spans="1:21" s="5" customFormat="1" ht="14.5" customHeight="1" x14ac:dyDescent="0.4">
      <c r="A103" s="38"/>
      <c r="B103" s="23"/>
      <c r="C103" s="24"/>
      <c r="D103" s="5" t="s">
        <v>174</v>
      </c>
      <c r="E103" s="25" t="s">
        <v>175</v>
      </c>
      <c r="F103" s="25"/>
      <c r="G103" s="6" t="s">
        <v>19</v>
      </c>
      <c r="H103" s="135">
        <v>5</v>
      </c>
      <c r="I103" s="31"/>
      <c r="J103" s="256" t="str">
        <f t="shared" si="3"/>
        <v>4.2.13</v>
      </c>
      <c r="K103" s="52"/>
      <c r="L103" s="31"/>
      <c r="M103" s="200">
        <v>49</v>
      </c>
      <c r="N103" s="231" t="s">
        <v>176</v>
      </c>
      <c r="O103" s="211">
        <v>0</v>
      </c>
      <c r="P103" s="201" t="s">
        <v>47</v>
      </c>
      <c r="Q103" s="212"/>
      <c r="R103" s="4"/>
      <c r="T103" s="161"/>
      <c r="U103" s="76"/>
    </row>
    <row r="104" spans="1:21" s="5" customFormat="1" ht="14.5" customHeight="1" x14ac:dyDescent="0.4">
      <c r="A104" s="38"/>
      <c r="B104" s="23"/>
      <c r="C104" s="24"/>
      <c r="D104" s="5" t="s">
        <v>177</v>
      </c>
      <c r="E104" s="25" t="s">
        <v>178</v>
      </c>
      <c r="F104" s="25"/>
      <c r="G104" s="6" t="s">
        <v>19</v>
      </c>
      <c r="H104" s="135">
        <v>0</v>
      </c>
      <c r="I104" s="31"/>
      <c r="J104" s="256" t="str">
        <f t="shared" si="3"/>
        <v>4.2.14</v>
      </c>
      <c r="K104" s="52"/>
      <c r="L104" s="31"/>
      <c r="M104" s="200">
        <v>50</v>
      </c>
      <c r="N104" s="231" t="s">
        <v>179</v>
      </c>
      <c r="O104" s="211">
        <v>0</v>
      </c>
      <c r="P104" s="201" t="s">
        <v>47</v>
      </c>
      <c r="Q104" s="212"/>
      <c r="R104" s="4"/>
      <c r="T104" s="161"/>
      <c r="U104" s="76"/>
    </row>
    <row r="105" spans="1:21" s="5" customFormat="1" ht="14.5" customHeight="1" x14ac:dyDescent="0.4">
      <c r="A105" s="38"/>
      <c r="B105" s="23"/>
      <c r="C105" s="24"/>
      <c r="D105" s="5" t="s">
        <v>180</v>
      </c>
      <c r="E105" s="25" t="s">
        <v>181</v>
      </c>
      <c r="F105" s="25"/>
      <c r="G105" s="6" t="s">
        <v>19</v>
      </c>
      <c r="H105" s="135">
        <v>0</v>
      </c>
      <c r="I105" s="31"/>
      <c r="J105" s="256" t="str">
        <f t="shared" si="3"/>
        <v>4.2.15</v>
      </c>
      <c r="K105" s="52"/>
      <c r="L105" s="31"/>
      <c r="M105" s="200">
        <v>51</v>
      </c>
      <c r="N105" s="231" t="s">
        <v>182</v>
      </c>
      <c r="O105" s="211">
        <v>0</v>
      </c>
      <c r="P105" s="201" t="s">
        <v>47</v>
      </c>
      <c r="Q105" s="212" t="s">
        <v>183</v>
      </c>
      <c r="R105" s="4"/>
      <c r="T105" s="161"/>
      <c r="U105" s="76"/>
    </row>
    <row r="106" spans="1:21" s="5" customFormat="1" ht="14.5" customHeight="1" x14ac:dyDescent="0.4">
      <c r="A106" s="38"/>
      <c r="B106" s="23"/>
      <c r="C106" s="24"/>
      <c r="D106" s="5" t="s">
        <v>184</v>
      </c>
      <c r="E106" s="25" t="s">
        <v>185</v>
      </c>
      <c r="F106" s="25"/>
      <c r="G106" s="6" t="s">
        <v>19</v>
      </c>
      <c r="H106" s="135">
        <v>5</v>
      </c>
      <c r="I106" s="31"/>
      <c r="J106" s="256" t="str">
        <f t="shared" si="3"/>
        <v>4.2.16</v>
      </c>
      <c r="K106" s="52"/>
      <c r="L106" s="31"/>
      <c r="M106" s="200">
        <v>52</v>
      </c>
      <c r="N106" s="231" t="s">
        <v>186</v>
      </c>
      <c r="O106" s="211">
        <v>0</v>
      </c>
      <c r="P106" s="201" t="s">
        <v>47</v>
      </c>
      <c r="Q106" s="212"/>
      <c r="R106" s="4"/>
      <c r="T106" s="161"/>
      <c r="U106" s="76"/>
    </row>
    <row r="107" spans="1:21" s="5" customFormat="1" ht="14.5" customHeight="1" thickBot="1" x14ac:dyDescent="0.45">
      <c r="A107" s="38"/>
      <c r="B107" s="23"/>
      <c r="C107" s="24"/>
      <c r="D107" s="5" t="s">
        <v>187</v>
      </c>
      <c r="E107" s="25" t="s">
        <v>188</v>
      </c>
      <c r="F107" s="25"/>
      <c r="G107" s="6" t="s">
        <v>19</v>
      </c>
      <c r="H107" s="135">
        <v>5</v>
      </c>
      <c r="I107" s="31"/>
      <c r="J107" s="256" t="str">
        <f t="shared" si="3"/>
        <v>4.2.17</v>
      </c>
      <c r="K107" s="52"/>
      <c r="L107" s="31"/>
      <c r="M107" s="213">
        <v>53</v>
      </c>
      <c r="N107" s="233" t="s">
        <v>189</v>
      </c>
      <c r="O107" s="215">
        <v>0</v>
      </c>
      <c r="P107" s="214" t="s">
        <v>47</v>
      </c>
      <c r="Q107" s="216"/>
      <c r="R107" s="4"/>
      <c r="T107" s="161"/>
      <c r="U107" s="76"/>
    </row>
    <row r="108" spans="1:21" s="5" customFormat="1" ht="14.5" customHeight="1" x14ac:dyDescent="0.4">
      <c r="A108" s="38"/>
      <c r="B108" s="23"/>
      <c r="C108" s="24"/>
      <c r="D108" s="5" t="s">
        <v>190</v>
      </c>
      <c r="E108" s="25" t="s">
        <v>191</v>
      </c>
      <c r="F108" s="25"/>
      <c r="G108" s="6" t="s">
        <v>19</v>
      </c>
      <c r="H108" s="135">
        <v>0</v>
      </c>
      <c r="I108" s="31"/>
      <c r="J108" s="256" t="str">
        <f t="shared" si="3"/>
        <v>4.2.18</v>
      </c>
      <c r="K108" s="52"/>
      <c r="L108" s="31"/>
      <c r="M108" s="200">
        <v>54</v>
      </c>
      <c r="N108" s="231" t="s">
        <v>192</v>
      </c>
      <c r="O108" s="211">
        <v>0</v>
      </c>
      <c r="P108" s="201" t="s">
        <v>34</v>
      </c>
      <c r="Q108" s="212"/>
      <c r="R108" s="4"/>
      <c r="T108" s="161"/>
      <c r="U108" s="76"/>
    </row>
    <row r="109" spans="1:21" s="5" customFormat="1" ht="14.5" customHeight="1" thickBot="1" x14ac:dyDescent="0.45">
      <c r="A109" s="38"/>
      <c r="B109" s="23"/>
      <c r="C109" s="24"/>
      <c r="D109" s="5" t="s">
        <v>193</v>
      </c>
      <c r="E109" s="25" t="s">
        <v>194</v>
      </c>
      <c r="F109" s="25"/>
      <c r="G109" s="6" t="s">
        <v>19</v>
      </c>
      <c r="H109" s="135">
        <v>0</v>
      </c>
      <c r="I109" s="31"/>
      <c r="J109" s="256" t="str">
        <f t="shared" si="3"/>
        <v>4.2.19</v>
      </c>
      <c r="K109" s="52"/>
      <c r="L109" s="31"/>
      <c r="M109" s="213">
        <v>55</v>
      </c>
      <c r="N109" s="233" t="s">
        <v>34</v>
      </c>
      <c r="O109" s="215">
        <v>0</v>
      </c>
      <c r="P109" s="214" t="s">
        <v>34</v>
      </c>
      <c r="Q109" s="216" t="s">
        <v>195</v>
      </c>
      <c r="R109" s="4"/>
      <c r="T109" s="161"/>
      <c r="U109" s="76"/>
    </row>
    <row r="110" spans="1:21" s="5" customFormat="1" ht="14.5" customHeight="1" x14ac:dyDescent="0.4">
      <c r="A110" s="38"/>
      <c r="B110" s="23"/>
      <c r="C110" s="24"/>
      <c r="D110" s="5" t="s">
        <v>196</v>
      </c>
      <c r="E110" s="25" t="s">
        <v>197</v>
      </c>
      <c r="F110" s="25"/>
      <c r="G110" s="6" t="s">
        <v>19</v>
      </c>
      <c r="H110" s="135">
        <v>5</v>
      </c>
      <c r="I110" s="31"/>
      <c r="J110" s="256" t="str">
        <f t="shared" si="3"/>
        <v>4.2.20</v>
      </c>
      <c r="K110" s="52"/>
      <c r="L110" s="31"/>
      <c r="M110" s="200">
        <v>56</v>
      </c>
      <c r="N110" s="231" t="s">
        <v>198</v>
      </c>
      <c r="O110" s="211">
        <v>0</v>
      </c>
      <c r="P110" s="201" t="s">
        <v>35</v>
      </c>
      <c r="Q110" s="212"/>
      <c r="R110" s="4"/>
      <c r="T110" s="161"/>
      <c r="U110" s="76"/>
    </row>
    <row r="111" spans="1:21" s="5" customFormat="1" ht="14.5" customHeight="1" x14ac:dyDescent="0.4">
      <c r="A111" s="38"/>
      <c r="B111" s="23"/>
      <c r="C111" s="24"/>
      <c r="D111" s="5" t="s">
        <v>199</v>
      </c>
      <c r="E111" s="25" t="s">
        <v>200</v>
      </c>
      <c r="F111" s="25"/>
      <c r="G111" s="6" t="s">
        <v>19</v>
      </c>
      <c r="H111" s="135">
        <v>0</v>
      </c>
      <c r="I111" s="31"/>
      <c r="J111" s="256" t="str">
        <f t="shared" si="3"/>
        <v>4.2.21</v>
      </c>
      <c r="K111" s="52"/>
      <c r="L111" s="31"/>
      <c r="M111" s="200">
        <v>57</v>
      </c>
      <c r="N111" s="231" t="s">
        <v>201</v>
      </c>
      <c r="O111" s="211">
        <v>0</v>
      </c>
      <c r="P111" s="201" t="s">
        <v>35</v>
      </c>
      <c r="Q111" s="212" t="s">
        <v>202</v>
      </c>
      <c r="R111" s="4"/>
      <c r="T111" s="161"/>
      <c r="U111" s="76"/>
    </row>
    <row r="112" spans="1:21" s="5" customFormat="1" ht="23.5" customHeight="1" thickBot="1" x14ac:dyDescent="0.45">
      <c r="A112" s="38"/>
      <c r="B112" s="23"/>
      <c r="C112" s="24"/>
      <c r="D112" s="5" t="s">
        <v>203</v>
      </c>
      <c r="E112" s="25" t="s">
        <v>204</v>
      </c>
      <c r="F112" s="25"/>
      <c r="G112" s="6" t="s">
        <v>19</v>
      </c>
      <c r="H112" s="135">
        <v>0</v>
      </c>
      <c r="I112" s="31"/>
      <c r="J112" s="256" t="str">
        <f t="shared" si="3"/>
        <v>4.2.22</v>
      </c>
      <c r="K112" s="52"/>
      <c r="L112" s="31"/>
      <c r="M112" s="200">
        <v>58</v>
      </c>
      <c r="N112" s="231" t="s">
        <v>205</v>
      </c>
      <c r="O112" s="211">
        <v>0</v>
      </c>
      <c r="P112" s="201" t="s">
        <v>35</v>
      </c>
      <c r="Q112" s="212"/>
      <c r="R112" s="4"/>
      <c r="T112" s="161"/>
      <c r="U112" s="76"/>
    </row>
    <row r="113" spans="1:21" s="5" customFormat="1" ht="14.5" customHeight="1" thickBot="1" x14ac:dyDescent="0.45">
      <c r="A113" s="38"/>
      <c r="B113" s="23"/>
      <c r="C113" s="24"/>
      <c r="G113" s="43"/>
      <c r="H113" s="97"/>
      <c r="J113" s="11"/>
      <c r="K113" s="11"/>
      <c r="L113" s="31"/>
      <c r="M113" s="213">
        <v>59</v>
      </c>
      <c r="N113" s="233" t="s">
        <v>206</v>
      </c>
      <c r="O113" s="215">
        <v>0</v>
      </c>
      <c r="P113" s="214" t="s">
        <v>35</v>
      </c>
      <c r="Q113" s="216"/>
      <c r="R113" s="4"/>
      <c r="T113" s="160"/>
      <c r="U113" s="76"/>
    </row>
    <row r="114" spans="1:21" s="5" customFormat="1" ht="14.5" customHeight="1" thickBot="1" x14ac:dyDescent="0.45">
      <c r="A114" s="38"/>
      <c r="B114" s="31">
        <v>3</v>
      </c>
      <c r="C114" s="133" t="s">
        <v>207</v>
      </c>
      <c r="G114" s="86" t="s">
        <v>208</v>
      </c>
      <c r="H114" s="294">
        <f ca="1">(H115+H116+H117+IF(H118=1948,5,IF(H118&lt;1948,5,IF(H118&gt;YEAR(TODAY()),0,5-((H118-1948)/(YEAR(TODAY())-1948))*5))))/4</f>
        <v>2.0841597845817255</v>
      </c>
      <c r="J114" s="11"/>
      <c r="K114" s="11"/>
      <c r="L114" s="31"/>
      <c r="M114" s="200">
        <v>60</v>
      </c>
      <c r="N114" s="231" t="s">
        <v>209</v>
      </c>
      <c r="O114" s="211">
        <v>0</v>
      </c>
      <c r="P114" s="201" t="s">
        <v>37</v>
      </c>
      <c r="Q114" s="212"/>
      <c r="R114" s="4"/>
      <c r="T114" s="161"/>
      <c r="U114" s="76"/>
    </row>
    <row r="115" spans="1:21" s="5" customFormat="1" ht="14.5" customHeight="1" x14ac:dyDescent="0.4">
      <c r="A115" s="38"/>
      <c r="B115" s="33">
        <v>1</v>
      </c>
      <c r="C115" s="119" t="s">
        <v>210</v>
      </c>
      <c r="E115" s="72"/>
      <c r="F115" s="72"/>
      <c r="G115" s="142" t="s">
        <v>211</v>
      </c>
      <c r="H115" s="143">
        <f>((IF(H44&lt;&gt;999,1,0)+IF(H45&lt;&gt;999,1,0)+IF(H47&lt;&gt;999,1,0)+IF(H46&lt;&gt;999,1,0)+IF(H48&lt;&gt;999,1,0)+IF(H49&lt;&gt;999,1,0)+IF(H50&lt;&gt;999,1,0)+IF(H51&lt;&gt;999,1,0)+IF(H52&lt;&gt;999,1,0))/9)*5</f>
        <v>5</v>
      </c>
      <c r="J115" s="11"/>
      <c r="K115" s="11"/>
      <c r="L115" s="31"/>
      <c r="M115" s="200">
        <v>61</v>
      </c>
      <c r="N115" s="231" t="s">
        <v>212</v>
      </c>
      <c r="O115" s="211">
        <v>0</v>
      </c>
      <c r="P115" s="201" t="s">
        <v>37</v>
      </c>
      <c r="Q115" s="212"/>
      <c r="R115" s="4"/>
      <c r="T115" s="161"/>
      <c r="U115" s="76"/>
    </row>
    <row r="116" spans="1:21" s="5" customFormat="1" ht="14.5" customHeight="1" x14ac:dyDescent="0.4">
      <c r="A116" s="38"/>
      <c r="B116" s="33">
        <v>2</v>
      </c>
      <c r="C116" s="119" t="s">
        <v>213</v>
      </c>
      <c r="E116" s="72"/>
      <c r="F116" s="72"/>
      <c r="G116" s="142" t="s">
        <v>211</v>
      </c>
      <c r="H116" s="144">
        <f>(H78/79)*5</f>
        <v>0.44303797468354433</v>
      </c>
      <c r="J116" s="11"/>
      <c r="K116" s="11"/>
      <c r="L116" s="31"/>
      <c r="M116" s="200">
        <v>62</v>
      </c>
      <c r="N116" s="231" t="s">
        <v>148</v>
      </c>
      <c r="O116" s="211">
        <v>5</v>
      </c>
      <c r="P116" s="201" t="s">
        <v>37</v>
      </c>
      <c r="Q116" s="212"/>
      <c r="R116" s="4"/>
      <c r="T116" s="161"/>
      <c r="U116" s="76"/>
    </row>
    <row r="117" spans="1:21" s="5" customFormat="1" ht="14.5" customHeight="1" x14ac:dyDescent="0.4">
      <c r="A117" s="38"/>
      <c r="B117" s="33">
        <v>3</v>
      </c>
      <c r="C117" s="119" t="s">
        <v>214</v>
      </c>
      <c r="E117" s="72"/>
      <c r="F117" s="72"/>
      <c r="G117" s="142" t="s">
        <v>211</v>
      </c>
      <c r="H117" s="144">
        <f>H63</f>
        <v>1.2269344969766911</v>
      </c>
      <c r="J117" s="11"/>
      <c r="K117" s="11"/>
      <c r="L117" s="31"/>
      <c r="M117" s="200">
        <v>63</v>
      </c>
      <c r="N117" s="231" t="s">
        <v>215</v>
      </c>
      <c r="O117" s="211">
        <v>0</v>
      </c>
      <c r="P117" s="201" t="s">
        <v>37</v>
      </c>
      <c r="Q117" s="212"/>
      <c r="R117" s="4"/>
      <c r="T117" s="161"/>
      <c r="U117" s="76"/>
    </row>
    <row r="118" spans="1:21" s="5" customFormat="1" ht="18.5" thickBot="1" x14ac:dyDescent="0.45">
      <c r="A118" s="38"/>
      <c r="B118" s="33">
        <v>4</v>
      </c>
      <c r="C118" s="119" t="s">
        <v>216</v>
      </c>
      <c r="E118" s="72"/>
      <c r="F118" s="72"/>
      <c r="G118" s="6" t="s">
        <v>25</v>
      </c>
      <c r="H118" s="132">
        <v>2000</v>
      </c>
      <c r="J118" s="267">
        <f>B118</f>
        <v>4</v>
      </c>
      <c r="K118" s="52"/>
      <c r="L118" s="31"/>
      <c r="M118" s="200">
        <v>64</v>
      </c>
      <c r="N118" s="231" t="s">
        <v>217</v>
      </c>
      <c r="O118" s="211">
        <v>5</v>
      </c>
      <c r="P118" s="201" t="s">
        <v>37</v>
      </c>
      <c r="Q118" s="212"/>
      <c r="R118" s="4"/>
      <c r="T118" s="161"/>
      <c r="U118" s="76"/>
    </row>
    <row r="119" spans="1:21" s="5" customFormat="1" ht="14.5" customHeight="1" thickBot="1" x14ac:dyDescent="0.45">
      <c r="A119" s="38"/>
      <c r="B119" s="23"/>
      <c r="C119" s="24"/>
      <c r="D119" s="25"/>
      <c r="G119" s="6"/>
      <c r="I119" s="31"/>
      <c r="J119" s="11"/>
      <c r="K119" s="11"/>
      <c r="L119" s="31"/>
      <c r="M119" s="200">
        <v>65</v>
      </c>
      <c r="N119" s="231" t="s">
        <v>218</v>
      </c>
      <c r="O119" s="211">
        <v>0</v>
      </c>
      <c r="P119" s="201" t="s">
        <v>37</v>
      </c>
      <c r="Q119" s="212" t="s">
        <v>219</v>
      </c>
      <c r="R119" s="4"/>
      <c r="T119" s="160"/>
      <c r="U119" s="76"/>
    </row>
    <row r="120" spans="1:21" s="5" customFormat="1" ht="18" customHeight="1" x14ac:dyDescent="0.4">
      <c r="A120" s="38"/>
      <c r="B120" s="31">
        <v>4</v>
      </c>
      <c r="C120" s="28" t="s">
        <v>220</v>
      </c>
      <c r="D120" s="25"/>
      <c r="G120" s="21" t="s">
        <v>16</v>
      </c>
      <c r="H120" s="294">
        <f>(IF(H121=Normalize!E29,5,IF(H121&lt;Normalize!E29,5,IF(H121&gt;Normalize!G29,0,5-((H121-Normalize!E29)/(Normalize!G29-Normalize!E29))*5)))+IF(H123=Normalize!E31,5,IF(H123&lt;Normalize!E31,5,IF(H123&gt;Normalize!G31,0,5-((H123-Normalize!E31)/(Normalize!G31-Normalize!E31))*5)))+IF(H124=Normalize!E32,5,IF(H124&lt;Normalize!E32,5,IF(H124&gt;Normalize!G32,0,5-((H124-Normalize!E32)/(Normalize!G32-Normalize!E32))*5)))+H125)/4</f>
        <v>0</v>
      </c>
      <c r="J120" s="11"/>
      <c r="K120" s="11"/>
      <c r="L120" s="31"/>
      <c r="M120" s="200">
        <v>66</v>
      </c>
      <c r="N120" s="231" t="s">
        <v>221</v>
      </c>
      <c r="O120" s="211">
        <v>0</v>
      </c>
      <c r="P120" s="201" t="s">
        <v>37</v>
      </c>
      <c r="Q120" s="212"/>
      <c r="R120" s="4"/>
      <c r="T120" s="161"/>
      <c r="U120" s="76"/>
    </row>
    <row r="121" spans="1:21" s="5" customFormat="1" ht="18" customHeight="1" x14ac:dyDescent="0.4">
      <c r="A121" s="38"/>
      <c r="B121" s="33">
        <v>1</v>
      </c>
      <c r="C121" s="24" t="s">
        <v>222</v>
      </c>
      <c r="D121" s="25"/>
      <c r="G121" s="6" t="s">
        <v>25</v>
      </c>
      <c r="H121" s="85">
        <v>5</v>
      </c>
      <c r="J121" s="267">
        <f>B121</f>
        <v>1</v>
      </c>
      <c r="K121" s="52"/>
      <c r="L121" s="31"/>
      <c r="M121" s="200">
        <v>67</v>
      </c>
      <c r="N121" s="231" t="s">
        <v>223</v>
      </c>
      <c r="O121" s="211">
        <v>0</v>
      </c>
      <c r="P121" s="201" t="s">
        <v>37</v>
      </c>
      <c r="Q121" s="212"/>
      <c r="R121" s="4"/>
      <c r="T121" s="161"/>
      <c r="U121" s="76"/>
    </row>
    <row r="122" spans="1:21" s="5" customFormat="1" ht="14.5" customHeight="1" x14ac:dyDescent="0.4">
      <c r="A122" s="38"/>
      <c r="B122" s="33">
        <v>2</v>
      </c>
      <c r="C122" s="73" t="s">
        <v>224</v>
      </c>
      <c r="D122" s="25"/>
      <c r="H122" s="40"/>
      <c r="J122" s="1"/>
      <c r="K122" s="1"/>
      <c r="L122" s="31"/>
      <c r="M122" s="200">
        <v>68</v>
      </c>
      <c r="N122" s="231" t="s">
        <v>225</v>
      </c>
      <c r="O122" s="211">
        <v>0</v>
      </c>
      <c r="P122" s="201" t="s">
        <v>37</v>
      </c>
      <c r="Q122" s="212"/>
      <c r="R122" s="4"/>
      <c r="S122" s="98"/>
      <c r="T122" s="161"/>
      <c r="U122" s="76"/>
    </row>
    <row r="123" spans="1:21" s="5" customFormat="1" ht="14.5" customHeight="1" x14ac:dyDescent="0.4">
      <c r="A123" s="38"/>
      <c r="B123" s="33"/>
      <c r="C123" s="24">
        <v>2.1</v>
      </c>
      <c r="D123" s="25" t="s">
        <v>226</v>
      </c>
      <c r="G123" s="6" t="s">
        <v>25</v>
      </c>
      <c r="H123" s="85">
        <v>4</v>
      </c>
      <c r="J123" s="256">
        <f>C123</f>
        <v>2.1</v>
      </c>
      <c r="K123" s="52"/>
      <c r="M123" s="200">
        <v>69</v>
      </c>
      <c r="N123" s="231" t="s">
        <v>227</v>
      </c>
      <c r="O123" s="211">
        <v>0</v>
      </c>
      <c r="P123" s="201" t="s">
        <v>37</v>
      </c>
      <c r="Q123" s="212"/>
      <c r="R123" s="4"/>
      <c r="S123" s="4"/>
      <c r="T123" s="161"/>
      <c r="U123" s="76"/>
    </row>
    <row r="124" spans="1:21" s="5" customFormat="1" ht="14.5" customHeight="1" x14ac:dyDescent="0.4">
      <c r="A124" s="38"/>
      <c r="B124" s="33"/>
      <c r="C124" s="24">
        <v>2.2000000000000002</v>
      </c>
      <c r="D124" s="25" t="s">
        <v>228</v>
      </c>
      <c r="G124" s="6" t="s">
        <v>25</v>
      </c>
      <c r="H124" s="85">
        <v>9</v>
      </c>
      <c r="J124" s="256">
        <f>C124</f>
        <v>2.2000000000000002</v>
      </c>
      <c r="K124" s="52"/>
      <c r="L124" s="31"/>
      <c r="M124" s="200">
        <v>70</v>
      </c>
      <c r="N124" s="231" t="s">
        <v>229</v>
      </c>
      <c r="O124" s="211">
        <v>0</v>
      </c>
      <c r="P124" s="201" t="s">
        <v>37</v>
      </c>
      <c r="Q124" s="212"/>
      <c r="R124" s="4"/>
      <c r="S124" s="4"/>
      <c r="T124" s="161"/>
      <c r="U124" s="76"/>
    </row>
    <row r="125" spans="1:21" s="5" customFormat="1" ht="23.15" customHeight="1" thickBot="1" x14ac:dyDescent="0.45">
      <c r="A125" s="38"/>
      <c r="B125" s="33">
        <v>3</v>
      </c>
      <c r="C125" s="24" t="s">
        <v>230</v>
      </c>
      <c r="D125" s="25"/>
      <c r="G125" s="6" t="s">
        <v>19</v>
      </c>
      <c r="H125" s="132">
        <v>0</v>
      </c>
      <c r="J125" s="267">
        <f>B125</f>
        <v>3</v>
      </c>
      <c r="K125" s="52"/>
      <c r="L125" s="31"/>
      <c r="M125" s="213">
        <v>71</v>
      </c>
      <c r="N125" s="233" t="s">
        <v>231</v>
      </c>
      <c r="O125" s="215">
        <v>5</v>
      </c>
      <c r="P125" s="214" t="s">
        <v>37</v>
      </c>
      <c r="Q125" s="216"/>
      <c r="R125" s="4"/>
      <c r="S125" s="4"/>
      <c r="T125" s="41"/>
      <c r="U125" s="76"/>
    </row>
    <row r="126" spans="1:21" s="5" customFormat="1" ht="14.5" customHeight="1" thickBot="1" x14ac:dyDescent="0.45">
      <c r="A126" s="38"/>
      <c r="B126" s="25"/>
      <c r="C126" s="24"/>
      <c r="D126" s="25"/>
      <c r="G126" s="20"/>
      <c r="H126" s="32"/>
      <c r="L126" s="31"/>
      <c r="M126" s="200">
        <v>72</v>
      </c>
      <c r="N126" s="231" t="s">
        <v>232</v>
      </c>
      <c r="O126" s="211">
        <v>0</v>
      </c>
      <c r="P126" s="201" t="s">
        <v>40</v>
      </c>
      <c r="Q126" s="212"/>
      <c r="R126" s="4"/>
      <c r="S126" s="4"/>
      <c r="T126" s="160"/>
      <c r="U126" s="76"/>
    </row>
    <row r="127" spans="1:21" s="5" customFormat="1" ht="14.5" customHeight="1" x14ac:dyDescent="0.4">
      <c r="A127" s="38"/>
      <c r="B127" s="31">
        <v>5</v>
      </c>
      <c r="C127" s="28" t="s">
        <v>233</v>
      </c>
      <c r="D127" s="25"/>
      <c r="G127" s="21" t="s">
        <v>16</v>
      </c>
      <c r="H127" s="294">
        <f>(H128+H129+H130+IF(H131=Normalize!E35,5,IF(H131&lt;Normalize!E35,5,IF(H131&gt;Normalize!G35,0,((H131-Normalize!E35)/(Normalize!G35-Normalize!E35))*5)))+H132)/5</f>
        <v>4.5999999999999996</v>
      </c>
      <c r="L127" s="31"/>
      <c r="M127" s="200">
        <v>73</v>
      </c>
      <c r="N127" s="231" t="s">
        <v>234</v>
      </c>
      <c r="O127" s="211">
        <v>0</v>
      </c>
      <c r="P127" s="201" t="s">
        <v>40</v>
      </c>
      <c r="Q127" s="212"/>
      <c r="R127" s="4"/>
      <c r="S127" s="4"/>
      <c r="T127" s="161"/>
      <c r="U127" s="76"/>
    </row>
    <row r="128" spans="1:21" s="5" customFormat="1" ht="14.5" customHeight="1" x14ac:dyDescent="0.4">
      <c r="A128" s="38"/>
      <c r="B128" s="33">
        <v>1</v>
      </c>
      <c r="C128" s="119" t="s">
        <v>235</v>
      </c>
      <c r="D128" s="25"/>
      <c r="G128" s="81" t="s">
        <v>236</v>
      </c>
      <c r="H128" s="85">
        <v>4</v>
      </c>
      <c r="J128" s="267">
        <f>B128</f>
        <v>1</v>
      </c>
      <c r="K128" s="52"/>
      <c r="L128" s="31"/>
      <c r="M128" s="200">
        <v>74</v>
      </c>
      <c r="N128" s="231" t="s">
        <v>237</v>
      </c>
      <c r="O128" s="211">
        <v>0</v>
      </c>
      <c r="P128" s="201" t="s">
        <v>40</v>
      </c>
      <c r="Q128" s="212"/>
      <c r="R128" s="4"/>
      <c r="S128" s="4"/>
      <c r="T128" s="161"/>
      <c r="U128" s="76"/>
    </row>
    <row r="129" spans="1:21" s="5" customFormat="1" ht="18" customHeight="1" x14ac:dyDescent="0.4">
      <c r="A129" s="38"/>
      <c r="B129" s="33">
        <v>2</v>
      </c>
      <c r="C129" s="120" t="s">
        <v>238</v>
      </c>
      <c r="D129" s="25"/>
      <c r="G129" s="81" t="s">
        <v>236</v>
      </c>
      <c r="H129" s="85">
        <v>4</v>
      </c>
      <c r="J129" s="267">
        <f>B129</f>
        <v>2</v>
      </c>
      <c r="K129" s="52"/>
      <c r="L129" s="31"/>
      <c r="M129" s="200">
        <v>75</v>
      </c>
      <c r="N129" s="231" t="s">
        <v>239</v>
      </c>
      <c r="O129" s="211">
        <v>0</v>
      </c>
      <c r="P129" s="201" t="s">
        <v>40</v>
      </c>
      <c r="Q129" s="212" t="s">
        <v>240</v>
      </c>
      <c r="R129" s="4"/>
      <c r="S129" s="4"/>
      <c r="T129" s="161"/>
      <c r="U129" s="76"/>
    </row>
    <row r="130" spans="1:21" s="5" customFormat="1" ht="18" customHeight="1" x14ac:dyDescent="0.4">
      <c r="A130" s="38"/>
      <c r="B130" s="33">
        <v>3</v>
      </c>
      <c r="C130" s="120" t="s">
        <v>241</v>
      </c>
      <c r="D130" s="25"/>
      <c r="G130" s="6" t="s">
        <v>19</v>
      </c>
      <c r="H130" s="13">
        <v>5</v>
      </c>
      <c r="J130" s="267">
        <v>3</v>
      </c>
      <c r="K130" s="52"/>
      <c r="M130" s="200">
        <v>76</v>
      </c>
      <c r="N130" s="231" t="s">
        <v>242</v>
      </c>
      <c r="O130" s="211">
        <v>0</v>
      </c>
      <c r="P130" s="201" t="s">
        <v>40</v>
      </c>
      <c r="Q130" s="212"/>
      <c r="R130" s="4"/>
      <c r="S130" s="4"/>
      <c r="T130" s="161"/>
      <c r="U130" s="76"/>
    </row>
    <row r="131" spans="1:21" s="5" customFormat="1" ht="18" customHeight="1" x14ac:dyDescent="0.4">
      <c r="A131" s="38"/>
      <c r="B131" s="33">
        <v>4</v>
      </c>
      <c r="C131" s="120" t="s">
        <v>243</v>
      </c>
      <c r="D131" s="78"/>
      <c r="G131" s="6" t="s">
        <v>244</v>
      </c>
      <c r="H131" s="180">
        <v>15</v>
      </c>
      <c r="J131" s="267">
        <f>B131</f>
        <v>4</v>
      </c>
      <c r="K131" s="52"/>
      <c r="M131" s="200">
        <v>77</v>
      </c>
      <c r="N131" s="231" t="s">
        <v>245</v>
      </c>
      <c r="O131" s="211">
        <v>0</v>
      </c>
      <c r="P131" s="201" t="s">
        <v>40</v>
      </c>
      <c r="Q131" s="212"/>
      <c r="R131" s="4"/>
      <c r="S131" s="4"/>
      <c r="T131" s="161"/>
      <c r="U131" s="76"/>
    </row>
    <row r="132" spans="1:21" s="5" customFormat="1" ht="23.5" customHeight="1" thickBot="1" x14ac:dyDescent="0.45">
      <c r="A132" s="38"/>
      <c r="B132" s="33">
        <v>5</v>
      </c>
      <c r="C132" s="119" t="s">
        <v>246</v>
      </c>
      <c r="D132" s="25"/>
      <c r="G132" s="6" t="s">
        <v>19</v>
      </c>
      <c r="H132" s="135">
        <v>5</v>
      </c>
      <c r="J132" s="267">
        <f>B132</f>
        <v>5</v>
      </c>
      <c r="K132" s="52"/>
      <c r="M132" s="213">
        <v>78</v>
      </c>
      <c r="N132" s="233" t="s">
        <v>247</v>
      </c>
      <c r="O132" s="215">
        <v>0</v>
      </c>
      <c r="P132" s="214" t="s">
        <v>40</v>
      </c>
      <c r="Q132" s="216"/>
      <c r="R132" s="4"/>
      <c r="S132" s="4"/>
      <c r="T132" s="41"/>
      <c r="U132" s="76"/>
    </row>
    <row r="133" spans="1:21" s="5" customFormat="1" ht="14.5" customHeight="1" thickBot="1" x14ac:dyDescent="0.45">
      <c r="A133" s="39"/>
      <c r="D133" s="104"/>
      <c r="E133" s="40"/>
      <c r="F133" s="40"/>
      <c r="I133" s="31"/>
      <c r="M133" s="348">
        <v>79</v>
      </c>
      <c r="N133" s="349" t="s">
        <v>42</v>
      </c>
      <c r="O133" s="350">
        <v>0</v>
      </c>
      <c r="P133" s="351" t="s">
        <v>42</v>
      </c>
      <c r="Q133" s="212" t="s">
        <v>248</v>
      </c>
      <c r="R133" s="4"/>
      <c r="S133" s="99"/>
      <c r="T133" s="160"/>
      <c r="U133" s="76"/>
    </row>
    <row r="134" spans="1:21" ht="18" customHeight="1" thickBot="1" x14ac:dyDescent="0.35">
      <c r="A134" s="39"/>
      <c r="B134" s="31">
        <v>6</v>
      </c>
      <c r="C134" s="133" t="s">
        <v>249</v>
      </c>
      <c r="D134" s="25"/>
      <c r="E134" s="5"/>
      <c r="F134" s="5"/>
      <c r="G134" s="21" t="s">
        <v>16</v>
      </c>
      <c r="H134" s="247">
        <f>(H135*4+H141*8)/12</f>
        <v>3.75</v>
      </c>
      <c r="I134" s="31"/>
      <c r="K134" s="11"/>
      <c r="M134" s="217"/>
      <c r="N134" s="218"/>
      <c r="O134" s="352">
        <f>SUM(O55:O133)/5</f>
        <v>7</v>
      </c>
      <c r="P134" s="219"/>
      <c r="Q134" s="219"/>
      <c r="R134" s="4"/>
      <c r="S134" s="100"/>
      <c r="T134" s="161"/>
      <c r="U134" s="76"/>
    </row>
    <row r="135" spans="1:21" s="5" customFormat="1" ht="18" customHeight="1" x14ac:dyDescent="0.35">
      <c r="A135" s="39"/>
      <c r="B135" s="268">
        <v>1</v>
      </c>
      <c r="C135" s="269" t="s">
        <v>250</v>
      </c>
      <c r="D135" s="25"/>
      <c r="G135" s="21" t="s">
        <v>251</v>
      </c>
      <c r="H135" s="270">
        <f>SUM(H136:H140)/4</f>
        <v>1.25</v>
      </c>
      <c r="I135" s="31"/>
      <c r="J135" s="11"/>
      <c r="K135" s="11"/>
      <c r="M135" s="220"/>
      <c r="N135" s="221"/>
      <c r="O135" s="222"/>
      <c r="P135" s="221"/>
      <c r="Q135" s="223"/>
      <c r="R135" s="4"/>
      <c r="S135" s="100"/>
      <c r="T135" s="161"/>
      <c r="U135" s="76"/>
    </row>
    <row r="136" spans="1:21" s="5" customFormat="1" ht="14.5" customHeight="1" x14ac:dyDescent="0.35">
      <c r="A136" s="39"/>
      <c r="C136" s="119">
        <v>1.1000000000000001</v>
      </c>
      <c r="D136" s="119" t="s">
        <v>252</v>
      </c>
      <c r="G136" s="6" t="s">
        <v>19</v>
      </c>
      <c r="H136" s="13">
        <v>5</v>
      </c>
      <c r="J136" s="256">
        <f>C136</f>
        <v>1.1000000000000001</v>
      </c>
      <c r="K136" s="52"/>
      <c r="M136" s="220"/>
      <c r="N136" s="221"/>
      <c r="O136" s="222"/>
      <c r="P136" s="221"/>
      <c r="Q136" s="223"/>
      <c r="R136" s="4"/>
      <c r="S136" s="100"/>
      <c r="T136" s="161"/>
      <c r="U136" s="76"/>
    </row>
    <row r="137" spans="1:21" s="5" customFormat="1" ht="14.5" customHeight="1" x14ac:dyDescent="0.35">
      <c r="A137" s="39"/>
      <c r="C137" s="119">
        <v>1.2</v>
      </c>
      <c r="D137" s="119" t="s">
        <v>253</v>
      </c>
      <c r="E137" s="25"/>
      <c r="F137" s="25"/>
      <c r="G137" s="6" t="s">
        <v>19</v>
      </c>
      <c r="H137" s="13">
        <v>0</v>
      </c>
      <c r="J137" s="256">
        <f>C137</f>
        <v>1.2</v>
      </c>
      <c r="K137" s="52"/>
      <c r="M137" s="220"/>
      <c r="N137" s="221"/>
      <c r="O137" s="222"/>
      <c r="P137" s="221"/>
      <c r="Q137" s="223"/>
      <c r="R137" s="4"/>
      <c r="S137" s="100"/>
      <c r="T137" s="161"/>
      <c r="U137" s="76"/>
    </row>
    <row r="138" spans="1:21" s="5" customFormat="1" ht="14.5" customHeight="1" x14ac:dyDescent="0.35">
      <c r="A138" s="39"/>
      <c r="C138" s="119">
        <v>1.3</v>
      </c>
      <c r="D138" s="119" t="s">
        <v>254</v>
      </c>
      <c r="G138" s="6" t="s">
        <v>19</v>
      </c>
      <c r="H138" s="13">
        <v>0</v>
      </c>
      <c r="I138" s="31"/>
      <c r="J138" s="256">
        <f>C138</f>
        <v>1.3</v>
      </c>
      <c r="K138" s="52"/>
      <c r="M138" s="220"/>
      <c r="N138" s="221"/>
      <c r="O138" s="222"/>
      <c r="P138" s="221"/>
      <c r="Q138" s="223"/>
      <c r="R138" s="4"/>
      <c r="S138" s="100"/>
      <c r="T138" s="161"/>
      <c r="U138" s="76"/>
    </row>
    <row r="139" spans="1:21" s="5" customFormat="1" ht="23.5" customHeight="1" x14ac:dyDescent="0.35">
      <c r="A139" s="39"/>
      <c r="C139" s="119">
        <v>1.4</v>
      </c>
      <c r="D139" s="119" t="s">
        <v>255</v>
      </c>
      <c r="G139" s="6" t="s">
        <v>19</v>
      </c>
      <c r="H139" s="13">
        <v>0</v>
      </c>
      <c r="I139" s="31"/>
      <c r="J139" s="256">
        <f>C139</f>
        <v>1.4</v>
      </c>
      <c r="K139" s="52"/>
      <c r="M139" s="220"/>
      <c r="N139" s="221"/>
      <c r="O139" s="222"/>
      <c r="P139" s="221"/>
      <c r="Q139" s="223"/>
      <c r="R139" s="4"/>
      <c r="S139" s="100"/>
      <c r="T139" s="161"/>
      <c r="U139" s="76"/>
    </row>
    <row r="140" spans="1:21" s="5" customFormat="1" ht="18" customHeight="1" x14ac:dyDescent="0.35">
      <c r="A140" s="39"/>
      <c r="B140" s="22"/>
      <c r="D140" s="271"/>
      <c r="I140" s="31"/>
      <c r="M140" s="220"/>
      <c r="N140" s="221"/>
      <c r="O140" s="222"/>
      <c r="P140" s="221"/>
      <c r="Q140" s="223"/>
      <c r="R140" s="16"/>
      <c r="S140" s="100"/>
      <c r="T140" s="160"/>
      <c r="U140" s="76"/>
    </row>
    <row r="141" spans="1:21" ht="18" customHeight="1" x14ac:dyDescent="0.35">
      <c r="A141" s="39"/>
      <c r="B141" s="268">
        <v>2</v>
      </c>
      <c r="C141" s="269" t="s">
        <v>256</v>
      </c>
      <c r="D141" s="25"/>
      <c r="E141" s="5"/>
      <c r="F141" s="5"/>
      <c r="G141" s="21" t="s">
        <v>251</v>
      </c>
      <c r="H141" s="270">
        <f>SUM(H142:H151)/8</f>
        <v>5</v>
      </c>
      <c r="I141" s="31"/>
      <c r="J141" s="11"/>
      <c r="K141" s="11"/>
      <c r="L141" s="5"/>
      <c r="M141" s="220"/>
      <c r="N141" s="221"/>
      <c r="O141" s="222"/>
      <c r="P141" s="221"/>
      <c r="Q141" s="223"/>
      <c r="R141" s="16"/>
      <c r="S141" s="100"/>
      <c r="T141" s="161"/>
      <c r="U141" s="76"/>
    </row>
    <row r="142" spans="1:21" ht="18" customHeight="1" x14ac:dyDescent="0.3">
      <c r="A142" s="39"/>
      <c r="C142" s="119">
        <v>2.1</v>
      </c>
      <c r="D142" s="119" t="s">
        <v>257</v>
      </c>
      <c r="E142" s="5"/>
      <c r="F142" s="5"/>
      <c r="G142" s="6" t="s">
        <v>19</v>
      </c>
      <c r="H142" s="13">
        <v>5</v>
      </c>
      <c r="I142" s="31"/>
      <c r="J142" s="256">
        <f>C142</f>
        <v>2.1</v>
      </c>
      <c r="K142" s="52"/>
      <c r="L142" s="5"/>
      <c r="R142" s="16"/>
      <c r="S142" s="100"/>
      <c r="T142" s="161"/>
      <c r="U142" s="76"/>
    </row>
    <row r="143" spans="1:21" ht="18" customHeight="1" x14ac:dyDescent="0.3">
      <c r="A143" s="39"/>
      <c r="C143" s="119">
        <v>2.2000000000000002</v>
      </c>
      <c r="D143" s="119" t="s">
        <v>258</v>
      </c>
      <c r="E143" s="40"/>
      <c r="F143" s="40"/>
      <c r="G143" s="6" t="s">
        <v>19</v>
      </c>
      <c r="H143" s="13">
        <v>5</v>
      </c>
      <c r="I143" s="31"/>
      <c r="J143" s="256">
        <f>C143</f>
        <v>2.2000000000000002</v>
      </c>
      <c r="K143" s="52"/>
      <c r="L143" s="5"/>
      <c r="R143" s="16"/>
      <c r="S143" s="100"/>
      <c r="T143" s="161"/>
      <c r="U143" s="76"/>
    </row>
    <row r="144" spans="1:21" ht="18" customHeight="1" x14ac:dyDescent="0.3">
      <c r="A144" s="39"/>
      <c r="C144" s="119">
        <v>2.2999999999999998</v>
      </c>
      <c r="D144" s="119" t="s">
        <v>259</v>
      </c>
      <c r="E144" s="40"/>
      <c r="F144" s="40"/>
      <c r="G144" s="6" t="s">
        <v>19</v>
      </c>
      <c r="H144" s="13">
        <v>5</v>
      </c>
      <c r="I144" s="5"/>
      <c r="J144" s="256">
        <f>C144</f>
        <v>2.2999999999999998</v>
      </c>
      <c r="K144" s="52"/>
      <c r="L144" s="5"/>
      <c r="R144" s="16"/>
      <c r="S144" s="100"/>
      <c r="T144" s="161"/>
      <c r="U144" s="76"/>
    </row>
    <row r="145" spans="1:21" ht="18" customHeight="1" x14ac:dyDescent="0.35">
      <c r="A145" s="39"/>
      <c r="C145" s="119">
        <v>2.4</v>
      </c>
      <c r="D145" s="119" t="s">
        <v>260</v>
      </c>
      <c r="E145" s="5"/>
      <c r="F145" s="5"/>
      <c r="G145" s="6" t="s">
        <v>19</v>
      </c>
      <c r="H145" s="13">
        <v>5</v>
      </c>
      <c r="I145" s="5"/>
      <c r="J145" s="256">
        <f>C145</f>
        <v>2.4</v>
      </c>
      <c r="K145" s="52"/>
      <c r="L145" s="5"/>
      <c r="M145" s="220"/>
      <c r="N145" s="221"/>
      <c r="O145" s="222"/>
      <c r="P145" s="221"/>
      <c r="Q145" s="223"/>
      <c r="R145" s="3"/>
      <c r="S145" s="100"/>
      <c r="T145" s="161"/>
      <c r="U145" s="76"/>
    </row>
    <row r="146" spans="1:21" ht="18" customHeight="1" x14ac:dyDescent="0.35">
      <c r="A146" s="39"/>
      <c r="C146" s="119">
        <v>2.5</v>
      </c>
      <c r="D146" s="151" t="s">
        <v>261</v>
      </c>
      <c r="E146" s="5"/>
      <c r="F146" s="5"/>
      <c r="G146" s="6"/>
      <c r="H146" s="83"/>
      <c r="I146" s="5"/>
      <c r="J146" s="3"/>
      <c r="K146" s="3"/>
      <c r="L146" s="31"/>
      <c r="M146" s="220"/>
      <c r="N146" s="221"/>
      <c r="O146" s="222"/>
      <c r="P146" s="221"/>
      <c r="Q146" s="223"/>
      <c r="S146" s="100"/>
      <c r="T146" s="161"/>
      <c r="U146" s="76"/>
    </row>
    <row r="147" spans="1:21" ht="18" customHeight="1" x14ac:dyDescent="0.35">
      <c r="A147" s="39"/>
      <c r="B147" s="25"/>
      <c r="D147" s="5" t="s">
        <v>262</v>
      </c>
      <c r="E147" s="25" t="s">
        <v>263</v>
      </c>
      <c r="F147" s="25"/>
      <c r="G147" s="6" t="s">
        <v>19</v>
      </c>
      <c r="H147" s="13">
        <v>5</v>
      </c>
      <c r="I147" s="5"/>
      <c r="J147" s="256" t="str">
        <f>D147</f>
        <v>2.5.1</v>
      </c>
      <c r="K147" s="52"/>
      <c r="L147" s="31"/>
      <c r="M147" s="220"/>
      <c r="N147" s="221"/>
      <c r="O147" s="222"/>
      <c r="P147" s="221"/>
      <c r="Q147" s="223"/>
      <c r="S147" s="100"/>
      <c r="T147" s="161"/>
      <c r="U147" s="76"/>
    </row>
    <row r="148" spans="1:21" ht="18" customHeight="1" x14ac:dyDescent="0.35">
      <c r="A148" s="39"/>
      <c r="B148" s="25"/>
      <c r="D148" s="5" t="s">
        <v>264</v>
      </c>
      <c r="E148" s="25" t="s">
        <v>265</v>
      </c>
      <c r="F148" s="25"/>
      <c r="G148" s="6" t="s">
        <v>19</v>
      </c>
      <c r="H148" s="13">
        <v>5</v>
      </c>
      <c r="I148" s="5"/>
      <c r="J148" s="256" t="str">
        <f>D148</f>
        <v>2.5.2</v>
      </c>
      <c r="K148" s="52"/>
      <c r="L148" s="31"/>
      <c r="M148" s="220"/>
      <c r="N148" s="224"/>
      <c r="O148" s="222"/>
      <c r="P148" s="221"/>
      <c r="Q148" s="223"/>
      <c r="R148" s="4"/>
      <c r="S148" s="100"/>
      <c r="T148" s="161"/>
      <c r="U148" s="76"/>
    </row>
    <row r="149" spans="1:21" ht="18" customHeight="1" x14ac:dyDescent="0.35">
      <c r="A149" s="39"/>
      <c r="B149" s="80"/>
      <c r="D149" s="5" t="s">
        <v>266</v>
      </c>
      <c r="E149" s="25" t="s">
        <v>267</v>
      </c>
      <c r="F149" s="25"/>
      <c r="G149" s="6" t="s">
        <v>19</v>
      </c>
      <c r="H149" s="13">
        <v>5</v>
      </c>
      <c r="I149" s="31"/>
      <c r="J149" s="256" t="str">
        <f>D149</f>
        <v>2.5.3</v>
      </c>
      <c r="K149" s="52"/>
      <c r="L149" s="31"/>
      <c r="M149" s="220"/>
      <c r="N149" s="224"/>
      <c r="O149" s="222"/>
      <c r="P149" s="221"/>
      <c r="Q149" s="223"/>
      <c r="R149" s="4"/>
      <c r="S149" s="101"/>
      <c r="T149" s="161"/>
      <c r="U149" s="76"/>
    </row>
    <row r="150" spans="1:21" ht="18" customHeight="1" thickBot="1" x14ac:dyDescent="0.4">
      <c r="A150" s="39"/>
      <c r="B150" s="80"/>
      <c r="D150" s="5" t="s">
        <v>268</v>
      </c>
      <c r="E150" s="25" t="s">
        <v>269</v>
      </c>
      <c r="F150" s="25"/>
      <c r="G150" s="6" t="s">
        <v>19</v>
      </c>
      <c r="H150" s="13">
        <v>5</v>
      </c>
      <c r="I150" s="31"/>
      <c r="J150" s="256" t="str">
        <f>D150</f>
        <v>2.5.4</v>
      </c>
      <c r="K150" s="52"/>
      <c r="L150" s="31"/>
      <c r="M150" s="220"/>
      <c r="N150" s="224"/>
      <c r="O150" s="222"/>
      <c r="P150" s="221"/>
      <c r="Q150" s="223"/>
      <c r="R150" s="4"/>
      <c r="S150" s="101"/>
      <c r="T150" s="41"/>
      <c r="U150" s="76"/>
    </row>
    <row r="151" spans="1:21" ht="18" customHeight="1" thickBot="1" x14ac:dyDescent="0.4">
      <c r="A151" s="39"/>
      <c r="B151" s="33"/>
      <c r="C151" s="24"/>
      <c r="D151" s="25"/>
      <c r="E151" s="5"/>
      <c r="F151" s="5"/>
      <c r="G151" s="6"/>
      <c r="H151" s="30"/>
      <c r="I151" s="31"/>
      <c r="J151" s="11"/>
      <c r="K151" s="11"/>
      <c r="L151" s="31"/>
      <c r="M151" s="220"/>
      <c r="N151" s="224"/>
      <c r="O151" s="222"/>
      <c r="P151" s="221"/>
      <c r="Q151" s="223"/>
      <c r="R151" s="4"/>
      <c r="S151" s="101"/>
      <c r="T151" s="160"/>
      <c r="U151" s="76"/>
    </row>
    <row r="152" spans="1:21" ht="18" customHeight="1" x14ac:dyDescent="0.4">
      <c r="B152" s="19">
        <v>7</v>
      </c>
      <c r="C152" s="181" t="s">
        <v>270</v>
      </c>
      <c r="D152" s="25"/>
      <c r="E152" s="5"/>
      <c r="F152" s="5"/>
      <c r="G152" s="21" t="s">
        <v>16</v>
      </c>
      <c r="H152" s="295">
        <f>(H153*3+H158*5+H165*5)/13</f>
        <v>3.9121419020145018</v>
      </c>
      <c r="I152" s="31"/>
      <c r="J152" s="11"/>
      <c r="K152" s="11"/>
      <c r="L152" s="31"/>
      <c r="M152" s="220"/>
      <c r="N152" s="224"/>
      <c r="O152" s="222"/>
    </row>
    <row r="153" spans="1:21" ht="18" customHeight="1" x14ac:dyDescent="0.35">
      <c r="A153" s="39"/>
      <c r="B153" s="272">
        <v>1</v>
      </c>
      <c r="C153" s="273" t="s">
        <v>271</v>
      </c>
      <c r="D153" s="25"/>
      <c r="E153" s="5"/>
      <c r="F153" s="5"/>
      <c r="G153" s="274" t="s">
        <v>21</v>
      </c>
      <c r="H153" s="296">
        <f>(IF(H154=Normalize!E38,5,IF(H154&lt;Normalize!E38,5,IF(H154&gt;Normalize!G38,0,5-((H154-Normalize!E38)/(Normalize!G38-Normalize!E38))*5)))+IF(H155=Normalize!E39,5,IF(H155&lt;Normalize!E39,5,IF(H155&gt;Normalize!G39,0,5-((H155-Normalize!E39)/(Normalize!G39-Normalize!E39))*5)))+IF(H156=Normalize!E40,5,IF(H156&lt;Normalize!E40,5,IF(H156&gt;Normalize!G40,0,5-((H156-Normalize!E40)/(Normalize!G40-Normalize!E40))*5))))/3</f>
        <v>3.1944444444444446</v>
      </c>
      <c r="I153" s="31"/>
      <c r="J153" s="11"/>
      <c r="K153" s="11"/>
      <c r="L153" s="31"/>
      <c r="M153" s="220"/>
      <c r="N153" s="224"/>
      <c r="O153" s="222"/>
      <c r="P153" s="221"/>
      <c r="Q153" s="223"/>
      <c r="R153" s="4"/>
      <c r="S153" s="100"/>
      <c r="T153" s="161"/>
      <c r="U153" s="76"/>
    </row>
    <row r="154" spans="1:21" ht="18" customHeight="1" x14ac:dyDescent="0.35">
      <c r="A154" s="39"/>
      <c r="B154" s="23"/>
      <c r="C154" s="275" t="s">
        <v>38</v>
      </c>
      <c r="D154" s="175" t="s">
        <v>272</v>
      </c>
      <c r="E154" s="5"/>
      <c r="F154" s="5"/>
      <c r="G154" s="6" t="s">
        <v>273</v>
      </c>
      <c r="H154" s="276">
        <v>5</v>
      </c>
      <c r="I154" s="31"/>
      <c r="J154" s="267" t="str">
        <f>C154</f>
        <v>1.1</v>
      </c>
      <c r="K154" s="52"/>
      <c r="L154" s="31"/>
      <c r="M154" s="220"/>
      <c r="N154" s="224"/>
      <c r="O154" s="222"/>
      <c r="P154" s="221"/>
      <c r="Q154" s="223"/>
      <c r="R154" s="4"/>
      <c r="S154" s="100"/>
      <c r="T154" s="161"/>
      <c r="U154" s="76"/>
    </row>
    <row r="155" spans="1:21" ht="18" customHeight="1" x14ac:dyDescent="0.35">
      <c r="A155" s="39"/>
      <c r="B155" s="23"/>
      <c r="C155" s="275" t="s">
        <v>41</v>
      </c>
      <c r="D155" s="175" t="s">
        <v>274</v>
      </c>
      <c r="E155" s="5"/>
      <c r="F155" s="5"/>
      <c r="G155" s="6" t="s">
        <v>273</v>
      </c>
      <c r="H155" s="15">
        <v>4</v>
      </c>
      <c r="I155" s="31"/>
      <c r="J155" s="267" t="str">
        <f>C155</f>
        <v>1.2</v>
      </c>
      <c r="K155" s="52"/>
      <c r="L155" s="31"/>
      <c r="M155" s="220"/>
      <c r="N155" s="224"/>
      <c r="O155" s="222"/>
      <c r="P155" s="221"/>
      <c r="Q155" s="223"/>
      <c r="R155" s="4"/>
      <c r="S155" s="100"/>
      <c r="T155" s="161"/>
      <c r="U155" s="76"/>
    </row>
    <row r="156" spans="1:21" ht="18" customHeight="1" thickBot="1" x14ac:dyDescent="0.4">
      <c r="A156" s="39"/>
      <c r="B156" s="23"/>
      <c r="C156" s="275" t="s">
        <v>43</v>
      </c>
      <c r="D156" s="175" t="s">
        <v>275</v>
      </c>
      <c r="E156" s="5"/>
      <c r="F156" s="5"/>
      <c r="G156" s="6" t="s">
        <v>273</v>
      </c>
      <c r="H156" s="15">
        <v>2</v>
      </c>
      <c r="I156" s="31"/>
      <c r="J156" s="267" t="str">
        <f>C156</f>
        <v>1.3</v>
      </c>
      <c r="K156" s="52"/>
      <c r="L156" s="5"/>
      <c r="M156" s="220"/>
      <c r="N156" s="224"/>
      <c r="O156" s="222"/>
      <c r="P156" s="221"/>
      <c r="Q156" s="223"/>
      <c r="R156" s="4"/>
      <c r="S156" s="101"/>
      <c r="T156" s="41"/>
      <c r="U156" s="76"/>
    </row>
    <row r="157" spans="1:21" ht="18" customHeight="1" thickBot="1" x14ac:dyDescent="0.4">
      <c r="A157" s="39"/>
      <c r="B157" s="277"/>
      <c r="C157" s="170"/>
      <c r="D157" s="33"/>
      <c r="E157" s="40"/>
      <c r="F157" s="40"/>
      <c r="G157" s="30"/>
      <c r="H157" s="278"/>
      <c r="I157" s="5"/>
      <c r="J157" s="1"/>
      <c r="K157" s="1"/>
      <c r="L157" s="5"/>
      <c r="M157" s="220"/>
      <c r="N157" s="224"/>
      <c r="O157" s="222"/>
      <c r="P157" s="221"/>
      <c r="Q157" s="223"/>
      <c r="R157" s="4"/>
      <c r="S157" s="101"/>
      <c r="T157" s="160"/>
      <c r="U157" s="76"/>
    </row>
    <row r="158" spans="1:21" ht="18" customHeight="1" x14ac:dyDescent="0.35">
      <c r="A158" s="39"/>
      <c r="B158" s="272">
        <v>2</v>
      </c>
      <c r="C158" s="273" t="s">
        <v>276</v>
      </c>
      <c r="D158" s="25"/>
      <c r="E158" s="5"/>
      <c r="F158" s="5"/>
      <c r="G158" s="274" t="s">
        <v>21</v>
      </c>
      <c r="H158" s="297">
        <f>(IF(H159=Normalize!E43,5,IF(H159&lt;Normalize!E43,5,IF(H159&gt;Normalize!G43,0,5-((H159-Normalize!E43)/(Normalize!G43-Normalize!E43))*5)))+IF(H160=Normalize!E44,5,IF(H160&lt;Normalize!E44,5,IF(H160&gt;Normalize!G44,0,((H160-Normalize!E44)/(Normalize!G44-Normalize!E44))*5)))+IF(H161=Normalize!E45,5,IF(H161&lt;Normalize!E45,5,IF(H161&gt;Normalize!G45,0,((H161-Normalize!E45)/(Normalize!G45-Normalize!E45))*5)))+IF(H162=Normalize!E46,5,IF(H162&lt;Normalize!E46,5,IF(H162&gt;Normalize!G46,0,((H162-Normalize!E46)/(Normalize!G46-Normalize!E46))*5)))+IF(H163=Normalize!E47,5,IF(H163&lt;Normalize!E47,5,IF(H163&gt;Normalize!G47,0,((H163-Normalize!E47)/(Normalize!G47-Normalize!E47))*5))))/5</f>
        <v>3.2549022785710378</v>
      </c>
      <c r="I158" s="5"/>
      <c r="L158" s="31"/>
      <c r="M158" s="220"/>
      <c r="N158" s="224"/>
      <c r="O158" s="222"/>
      <c r="P158" s="221"/>
      <c r="Q158" s="223"/>
      <c r="R158" s="4"/>
      <c r="S158" s="100"/>
      <c r="T158" s="161"/>
      <c r="U158" s="76"/>
    </row>
    <row r="159" spans="1:21" ht="18" customHeight="1" x14ac:dyDescent="0.35">
      <c r="A159" s="39"/>
      <c r="B159" s="23"/>
      <c r="C159" s="275" t="s">
        <v>97</v>
      </c>
      <c r="D159" s="182" t="s">
        <v>277</v>
      </c>
      <c r="E159" s="5"/>
      <c r="F159" s="5"/>
      <c r="G159" s="6" t="s">
        <v>273</v>
      </c>
      <c r="H159" s="279">
        <v>1196</v>
      </c>
      <c r="I159" s="186"/>
      <c r="J159" s="267" t="str">
        <f>C159</f>
        <v>2.1</v>
      </c>
      <c r="K159" s="187"/>
      <c r="L159" s="31"/>
      <c r="M159" s="220"/>
      <c r="N159" s="224"/>
      <c r="O159" s="222"/>
      <c r="P159" s="221"/>
      <c r="Q159" s="223"/>
      <c r="R159" s="4"/>
      <c r="S159" s="101"/>
      <c r="T159" s="161"/>
      <c r="U159" s="76"/>
    </row>
    <row r="160" spans="1:21" ht="18" customHeight="1" x14ac:dyDescent="0.35">
      <c r="A160" s="39"/>
      <c r="B160" s="23"/>
      <c r="C160" s="275" t="s">
        <v>101</v>
      </c>
      <c r="D160" s="182" t="s">
        <v>278</v>
      </c>
      <c r="E160" s="5"/>
      <c r="F160" s="5"/>
      <c r="G160" s="6" t="s">
        <v>279</v>
      </c>
      <c r="H160" s="14">
        <v>281</v>
      </c>
      <c r="I160" s="188"/>
      <c r="J160" s="267" t="str">
        <f>C160</f>
        <v>2.2</v>
      </c>
      <c r="K160" s="187"/>
      <c r="L160" s="31"/>
      <c r="M160" s="220"/>
      <c r="N160" s="224"/>
      <c r="O160" s="222"/>
      <c r="P160" s="221"/>
      <c r="Q160" s="223"/>
      <c r="R160" s="4"/>
      <c r="S160" s="4"/>
      <c r="T160" s="161"/>
      <c r="U160" s="76"/>
    </row>
    <row r="161" spans="1:21" ht="18" customHeight="1" x14ac:dyDescent="0.35">
      <c r="A161" s="39"/>
      <c r="B161" s="23"/>
      <c r="C161" s="275" t="s">
        <v>105</v>
      </c>
      <c r="D161" s="182" t="s">
        <v>280</v>
      </c>
      <c r="E161" s="5"/>
      <c r="F161" s="5"/>
      <c r="G161" s="6" t="s">
        <v>279</v>
      </c>
      <c r="H161" s="15">
        <v>1.73</v>
      </c>
      <c r="I161" s="189"/>
      <c r="J161" s="267" t="str">
        <f>C161</f>
        <v>2.3</v>
      </c>
      <c r="K161" s="187"/>
      <c r="L161" s="31"/>
      <c r="M161" s="220"/>
      <c r="N161" s="224"/>
      <c r="O161" s="222"/>
      <c r="P161" s="221"/>
      <c r="Q161" s="223"/>
      <c r="R161" s="4"/>
      <c r="T161" s="44"/>
      <c r="U161" s="76"/>
    </row>
    <row r="162" spans="1:21" ht="18" customHeight="1" x14ac:dyDescent="0.35">
      <c r="A162" s="39"/>
      <c r="B162" s="183"/>
      <c r="C162" s="280" t="s">
        <v>281</v>
      </c>
      <c r="D162" s="184" t="s">
        <v>282</v>
      </c>
      <c r="E162" s="5"/>
      <c r="F162" s="5"/>
      <c r="G162" s="6" t="s">
        <v>279</v>
      </c>
      <c r="H162" s="298">
        <v>1</v>
      </c>
      <c r="I162" s="299"/>
      <c r="J162" s="267" t="str">
        <f>C162</f>
        <v>2.4</v>
      </c>
      <c r="K162" s="187"/>
      <c r="L162" s="31"/>
      <c r="M162" s="220"/>
      <c r="N162" s="224"/>
      <c r="O162" s="222"/>
      <c r="P162" s="221"/>
      <c r="Q162" s="223"/>
      <c r="R162" s="4"/>
      <c r="T162" s="44"/>
      <c r="U162" s="76"/>
    </row>
    <row r="163" spans="1:21" ht="18" customHeight="1" thickBot="1" x14ac:dyDescent="0.4">
      <c r="A163" s="5"/>
      <c r="B163" s="183"/>
      <c r="C163" s="280" t="s">
        <v>283</v>
      </c>
      <c r="D163" s="184" t="s">
        <v>284</v>
      </c>
      <c r="E163" s="5"/>
      <c r="F163" s="5"/>
      <c r="G163" s="6" t="s">
        <v>279</v>
      </c>
      <c r="H163" s="298">
        <v>1</v>
      </c>
      <c r="I163" s="299"/>
      <c r="J163" s="267" t="str">
        <f>C163</f>
        <v>2.5</v>
      </c>
      <c r="K163" s="187"/>
      <c r="L163" s="31"/>
      <c r="M163" s="220"/>
      <c r="N163" s="224"/>
      <c r="O163" s="222"/>
      <c r="P163" s="221"/>
      <c r="Q163" s="223"/>
      <c r="R163" s="4"/>
      <c r="T163" s="44"/>
      <c r="U163" s="76"/>
    </row>
    <row r="164" spans="1:21" ht="18" customHeight="1" thickBot="1" x14ac:dyDescent="0.4">
      <c r="A164" s="5"/>
      <c r="B164" s="185"/>
      <c r="C164" s="185"/>
      <c r="D164" s="5"/>
      <c r="E164" s="5"/>
      <c r="F164" s="5"/>
      <c r="G164" s="6"/>
      <c r="H164" s="281"/>
      <c r="I164" s="6"/>
      <c r="J164" s="147"/>
      <c r="L164" s="31"/>
      <c r="M164" s="220"/>
      <c r="N164" s="224"/>
      <c r="O164" s="222"/>
      <c r="P164" s="221"/>
      <c r="Q164" s="223"/>
      <c r="R164" s="4"/>
      <c r="T164" s="44"/>
      <c r="U164" s="76"/>
    </row>
    <row r="165" spans="1:21" ht="18" customHeight="1" x14ac:dyDescent="0.35">
      <c r="A165" s="5"/>
      <c r="B165" s="282">
        <v>3</v>
      </c>
      <c r="C165" s="283" t="s">
        <v>285</v>
      </c>
      <c r="D165" s="5"/>
      <c r="E165" s="5"/>
      <c r="F165" s="5"/>
      <c r="G165" s="274" t="s">
        <v>21</v>
      </c>
      <c r="H165" s="297">
        <f>(IF(H166=Normalize!E50,5,IF(H166&lt;Normalize!E50,5,IF(H166&gt;Normalize!G50,0,((H166-Normalize!E50)/(Normalize!G50-Normalize!E50))*5)))+IF(H167=Normalize!E51,5,IF(H167&lt;Normalize!E51,5,IF(H167&gt;Normalize!G51,0,((H167-Normalize!E51)/(Normalize!G51-Normalize!E51))*5)))+IF(H168=Normalize!E52,5,IF(H168&lt;Normalize!E52,5,IF(H168&gt;Normalize!G52,0,((H168-Normalize!E52)/(Normalize!G52-Normalize!E52))*5)))+IF(H169=Normalize!E53,5,IF(H169&lt;Normalize!E53,5,IF(H169&gt;Normalize!G53,0,((H169-Normalize!E53)/(Normalize!G53-Normalize!E53))*5)))+IF(H170=Normalize!E54,5,IF(H170&lt;Normalize!E54,5,IF(H170&gt;Normalize!G54,0,((H170-Normalize!E54)/(Normalize!G54-Normalize!E54))*5))))/5</f>
        <v>5</v>
      </c>
      <c r="I165" s="300"/>
      <c r="J165" s="147"/>
      <c r="L165" s="31"/>
      <c r="M165" s="220"/>
      <c r="N165" s="224"/>
      <c r="O165" s="222"/>
      <c r="P165" s="221"/>
      <c r="Q165" s="223"/>
      <c r="R165" s="4"/>
      <c r="T165" s="44"/>
      <c r="U165" s="76"/>
    </row>
    <row r="166" spans="1:21" ht="18" customHeight="1" x14ac:dyDescent="0.35">
      <c r="A166" s="5"/>
      <c r="B166" s="183"/>
      <c r="C166" s="280" t="s">
        <v>286</v>
      </c>
      <c r="D166" s="184" t="s">
        <v>287</v>
      </c>
      <c r="E166" s="5"/>
      <c r="F166" s="5"/>
      <c r="G166" s="6" t="s">
        <v>279</v>
      </c>
      <c r="H166" s="301">
        <v>1</v>
      </c>
      <c r="I166" s="299"/>
      <c r="J166" s="267" t="str">
        <f>C166</f>
        <v>3.1</v>
      </c>
      <c r="K166" s="187"/>
      <c r="L166" s="31"/>
      <c r="M166" s="220"/>
      <c r="N166" s="224"/>
      <c r="O166" s="222"/>
      <c r="P166" s="221"/>
      <c r="Q166" s="223"/>
      <c r="R166" s="4"/>
      <c r="T166" s="44"/>
      <c r="U166" s="76"/>
    </row>
    <row r="167" spans="1:21" ht="18" customHeight="1" x14ac:dyDescent="0.35">
      <c r="A167" s="5"/>
      <c r="B167" s="183"/>
      <c r="C167" s="280" t="s">
        <v>288</v>
      </c>
      <c r="D167" s="184" t="s">
        <v>289</v>
      </c>
      <c r="E167" s="5"/>
      <c r="F167" s="5"/>
      <c r="G167" s="6" t="s">
        <v>279</v>
      </c>
      <c r="H167" s="298">
        <v>1</v>
      </c>
      <c r="I167" s="299"/>
      <c r="J167" s="267" t="str">
        <f>C167</f>
        <v>3.2</v>
      </c>
      <c r="K167" s="187"/>
      <c r="L167" s="31"/>
      <c r="M167" s="220"/>
      <c r="N167" s="224"/>
      <c r="O167" s="222"/>
      <c r="P167" s="221"/>
      <c r="Q167" s="223"/>
      <c r="R167" s="4"/>
      <c r="T167" s="44"/>
      <c r="U167" s="76"/>
    </row>
    <row r="168" spans="1:21" ht="18" customHeight="1" x14ac:dyDescent="0.35">
      <c r="A168" s="5"/>
      <c r="B168" s="183"/>
      <c r="C168" s="280" t="s">
        <v>290</v>
      </c>
      <c r="D168" s="184" t="s">
        <v>291</v>
      </c>
      <c r="E168" s="5"/>
      <c r="F168" s="5"/>
      <c r="G168" s="6" t="s">
        <v>279</v>
      </c>
      <c r="H168" s="190">
        <v>-0.06</v>
      </c>
      <c r="I168" s="191"/>
      <c r="J168" s="267" t="str">
        <f>C168</f>
        <v>3.3</v>
      </c>
      <c r="K168" s="187"/>
      <c r="L168" s="31"/>
      <c r="M168" s="220"/>
      <c r="N168" s="224"/>
      <c r="O168" s="222"/>
      <c r="P168" s="221"/>
      <c r="Q168" s="223"/>
      <c r="R168" s="4"/>
      <c r="T168" s="44"/>
      <c r="U168" s="76"/>
    </row>
    <row r="169" spans="1:21" ht="18" customHeight="1" x14ac:dyDescent="0.35">
      <c r="A169" s="5"/>
      <c r="B169" s="183"/>
      <c r="C169" s="280" t="s">
        <v>292</v>
      </c>
      <c r="D169" s="184" t="s">
        <v>293</v>
      </c>
      <c r="E169" s="5"/>
      <c r="F169" s="5"/>
      <c r="G169" s="6" t="s">
        <v>279</v>
      </c>
      <c r="H169" s="190">
        <v>-0.44</v>
      </c>
      <c r="I169" s="191"/>
      <c r="J169" s="267" t="str">
        <f>C169</f>
        <v>3.4</v>
      </c>
      <c r="K169" s="187"/>
      <c r="L169" s="31"/>
      <c r="M169" s="220"/>
      <c r="N169" s="224"/>
      <c r="O169" s="222"/>
      <c r="P169" s="221"/>
      <c r="Q169" s="223"/>
      <c r="R169" s="4"/>
      <c r="T169" s="44"/>
      <c r="U169" s="76"/>
    </row>
    <row r="170" spans="1:21" ht="18" customHeight="1" x14ac:dyDescent="0.35">
      <c r="A170" s="5"/>
      <c r="B170" s="183"/>
      <c r="C170" s="280" t="s">
        <v>294</v>
      </c>
      <c r="D170" s="184" t="s">
        <v>295</v>
      </c>
      <c r="E170" s="5"/>
      <c r="F170" s="5"/>
      <c r="G170" s="6" t="s">
        <v>279</v>
      </c>
      <c r="H170" s="190">
        <v>0.34</v>
      </c>
      <c r="I170" s="191"/>
      <c r="J170" s="267" t="str">
        <f>C170</f>
        <v>3.5</v>
      </c>
      <c r="K170" s="187"/>
      <c r="L170" s="31"/>
      <c r="M170" s="220"/>
      <c r="N170" s="224"/>
      <c r="O170" s="222"/>
      <c r="P170" s="221"/>
      <c r="Q170" s="223"/>
      <c r="R170" s="4"/>
      <c r="T170" s="44"/>
      <c r="U170" s="76"/>
    </row>
    <row r="171" spans="1:21" ht="18" customHeight="1" x14ac:dyDescent="0.35">
      <c r="A171" s="5"/>
      <c r="B171" s="5"/>
      <c r="C171" s="364"/>
      <c r="D171" s="365"/>
      <c r="E171" s="366"/>
      <c r="F171" s="5"/>
      <c r="G171" s="5"/>
      <c r="H171" s="364"/>
      <c r="I171" s="367"/>
      <c r="L171" s="22"/>
      <c r="M171" s="220"/>
      <c r="N171" s="225"/>
      <c r="O171" s="221"/>
      <c r="P171" s="221"/>
      <c r="Q171" s="223"/>
      <c r="R171" s="4"/>
      <c r="T171" s="193"/>
      <c r="U171" s="76"/>
    </row>
    <row r="172" spans="1:21" ht="18" customHeight="1" x14ac:dyDescent="0.3">
      <c r="B172" s="49" t="s">
        <v>296</v>
      </c>
      <c r="C172" s="192" t="s">
        <v>297</v>
      </c>
      <c r="D172" s="226"/>
      <c r="E172" s="227"/>
      <c r="F172" s="152" t="s">
        <v>298</v>
      </c>
      <c r="G172" s="302" t="s">
        <v>299</v>
      </c>
      <c r="H172" s="366"/>
      <c r="I172" s="367"/>
      <c r="J172" s="267">
        <v>1</v>
      </c>
      <c r="K172" s="52"/>
      <c r="L172" s="5"/>
      <c r="M172" s="221"/>
      <c r="N172" s="221"/>
      <c r="O172" s="221"/>
      <c r="P172" s="221"/>
      <c r="Q172" s="221"/>
      <c r="R172" s="5"/>
      <c r="U172" s="76"/>
    </row>
    <row r="173" spans="1:21" ht="14.5" customHeight="1" x14ac:dyDescent="0.3">
      <c r="B173" s="2"/>
      <c r="C173" s="358"/>
      <c r="D173" s="359"/>
      <c r="E173" s="359"/>
      <c r="F173" s="154"/>
      <c r="G173" s="153"/>
      <c r="H173" s="366"/>
      <c r="I173" s="367"/>
      <c r="J173" s="51">
        <v>2</v>
      </c>
      <c r="K173" s="52"/>
      <c r="L173" s="5"/>
      <c r="M173" s="221"/>
      <c r="N173" s="221"/>
      <c r="O173" s="221"/>
      <c r="P173" s="221"/>
      <c r="Q173" s="221"/>
      <c r="R173" s="5"/>
      <c r="T173" s="3"/>
      <c r="U173" s="76"/>
    </row>
    <row r="174" spans="1:21" ht="14.5" customHeight="1" x14ac:dyDescent="0.3">
      <c r="B174" s="49" t="s">
        <v>300</v>
      </c>
      <c r="C174" s="192" t="s">
        <v>301</v>
      </c>
      <c r="D174" s="226"/>
      <c r="E174" s="227"/>
      <c r="F174" s="152" t="s">
        <v>302</v>
      </c>
      <c r="G174" s="303" t="s">
        <v>303</v>
      </c>
      <c r="H174" s="286"/>
      <c r="I174" s="286"/>
      <c r="J174" s="267">
        <v>3</v>
      </c>
      <c r="K174" s="52"/>
      <c r="L174" s="5"/>
      <c r="M174" s="221"/>
      <c r="N174" s="221"/>
      <c r="O174" s="221"/>
      <c r="P174" s="221"/>
      <c r="Q174" s="221"/>
      <c r="R174" s="5"/>
      <c r="T174" s="3"/>
      <c r="U174" s="76"/>
    </row>
    <row r="175" spans="1:21" ht="14.5" customHeight="1" x14ac:dyDescent="0.3">
      <c r="B175" s="33"/>
      <c r="C175" s="128"/>
      <c r="D175" s="119"/>
      <c r="E175" s="5"/>
      <c r="F175" s="25"/>
      <c r="J175" s="5"/>
      <c r="K175" s="5"/>
      <c r="L175" s="5"/>
      <c r="M175" s="221"/>
      <c r="N175" s="221"/>
      <c r="P175" s="221"/>
      <c r="Q175" s="221"/>
      <c r="R175" s="5"/>
      <c r="T175" s="3"/>
      <c r="U175" s="76"/>
    </row>
    <row r="176" spans="1:21" ht="14.5" customHeight="1" x14ac:dyDescent="0.3">
      <c r="B176" s="33"/>
      <c r="C176" s="128"/>
      <c r="D176" s="119"/>
      <c r="E176" s="5"/>
      <c r="F176" s="25"/>
      <c r="L176" s="5"/>
      <c r="M176" s="221"/>
      <c r="N176" s="221"/>
      <c r="O176" s="221"/>
      <c r="P176" s="221"/>
      <c r="Q176" s="221"/>
      <c r="R176" s="5"/>
      <c r="T176" s="3"/>
      <c r="U176" s="76"/>
    </row>
    <row r="177" spans="1:20" ht="14.5" customHeight="1" x14ac:dyDescent="0.35">
      <c r="B177" s="164" t="s">
        <v>304</v>
      </c>
      <c r="C177" s="167" t="s">
        <v>304</v>
      </c>
      <c r="D177" s="168"/>
      <c r="E177" s="169"/>
      <c r="F177" s="170"/>
      <c r="G177" s="170"/>
      <c r="H177" s="170"/>
      <c r="I177" s="170"/>
      <c r="J177" s="171"/>
      <c r="K177" s="171"/>
      <c r="L177" s="171"/>
      <c r="M177" s="228"/>
      <c r="N177" s="221"/>
      <c r="O177" s="221"/>
      <c r="P177" s="229"/>
      <c r="Q177" s="229"/>
      <c r="R177" s="82"/>
      <c r="T177" s="3"/>
    </row>
    <row r="178" spans="1:20" x14ac:dyDescent="0.35">
      <c r="B178" s="166"/>
      <c r="C178" s="172" t="s">
        <v>305</v>
      </c>
      <c r="D178" s="355"/>
      <c r="E178" s="356"/>
      <c r="F178" s="357"/>
      <c r="G178" s="173"/>
      <c r="H178" s="173"/>
      <c r="I178" s="173"/>
      <c r="J178" s="171"/>
      <c r="K178" s="171"/>
      <c r="L178" s="171"/>
      <c r="M178" s="171"/>
      <c r="N178" s="5"/>
      <c r="O178" s="5"/>
      <c r="P178" s="5"/>
      <c r="Q178" s="5"/>
      <c r="R178" s="5"/>
      <c r="T178" s="3"/>
    </row>
    <row r="179" spans="1:20" x14ac:dyDescent="0.35">
      <c r="A179" s="39"/>
      <c r="B179" s="166"/>
      <c r="C179" s="172" t="s">
        <v>306</v>
      </c>
      <c r="D179" s="361"/>
      <c r="E179" s="356"/>
      <c r="F179" s="357"/>
      <c r="G179" s="174"/>
      <c r="H179" s="170"/>
      <c r="I179" s="174"/>
      <c r="J179" s="170"/>
      <c r="K179" s="170"/>
      <c r="L179" s="170"/>
      <c r="M179" s="170"/>
      <c r="N179" s="5"/>
      <c r="O179" s="5"/>
      <c r="P179" s="5"/>
      <c r="Q179" s="5"/>
      <c r="R179" s="5"/>
      <c r="T179" s="3"/>
    </row>
    <row r="180" spans="1:20" ht="14.5" customHeight="1" x14ac:dyDescent="0.35">
      <c r="A180" s="39"/>
      <c r="B180" s="166"/>
      <c r="C180" s="172" t="s">
        <v>307</v>
      </c>
      <c r="D180" s="361"/>
      <c r="E180" s="356"/>
      <c r="F180" s="357"/>
      <c r="G180" s="175"/>
      <c r="H180" s="363" t="s">
        <v>308</v>
      </c>
      <c r="I180" s="356"/>
      <c r="J180" s="356"/>
      <c r="K180" s="356"/>
      <c r="L180" s="356"/>
      <c r="M180" s="357"/>
      <c r="N180" s="5"/>
      <c r="O180" s="5"/>
      <c r="P180" s="5"/>
      <c r="Q180" s="5"/>
      <c r="R180" s="5"/>
      <c r="T180" s="3"/>
    </row>
    <row r="181" spans="1:20" ht="14.5" customHeight="1" x14ac:dyDescent="0.35">
      <c r="A181" s="5"/>
      <c r="B181" s="166"/>
      <c r="C181" s="172" t="s">
        <v>309</v>
      </c>
      <c r="D181" s="361"/>
      <c r="E181" s="356"/>
      <c r="F181" s="357"/>
      <c r="G181" s="175"/>
      <c r="H181" s="360" t="s">
        <v>310</v>
      </c>
      <c r="I181" s="357"/>
      <c r="J181" s="360" t="s">
        <v>311</v>
      </c>
      <c r="K181" s="357"/>
      <c r="L181" s="362" t="s">
        <v>312</v>
      </c>
      <c r="M181" s="357"/>
      <c r="N181" s="5"/>
      <c r="O181" s="5"/>
      <c r="P181" s="5"/>
      <c r="Q181" s="5"/>
      <c r="R181" s="5"/>
      <c r="T181" s="3"/>
    </row>
    <row r="182" spans="1:20" ht="14.5" customHeight="1" x14ac:dyDescent="0.35">
      <c r="A182" s="5"/>
      <c r="B182" s="166"/>
      <c r="C182" s="172" t="s">
        <v>313</v>
      </c>
      <c r="D182" s="361"/>
      <c r="E182" s="356"/>
      <c r="F182" s="357"/>
      <c r="G182" s="175"/>
      <c r="H182" s="176" t="s">
        <v>314</v>
      </c>
      <c r="I182" s="177" t="s">
        <v>315</v>
      </c>
      <c r="J182" s="176" t="s">
        <v>314</v>
      </c>
      <c r="K182" s="177" t="s">
        <v>315</v>
      </c>
      <c r="L182" s="176" t="s">
        <v>314</v>
      </c>
      <c r="M182" s="177" t="s">
        <v>315</v>
      </c>
      <c r="N182" s="5"/>
      <c r="O182" s="5"/>
      <c r="P182" s="5"/>
      <c r="Q182" s="5"/>
      <c r="R182" s="5"/>
      <c r="T182" s="3"/>
    </row>
    <row r="183" spans="1:20" ht="17" customHeight="1" thickBot="1" x14ac:dyDescent="0.4">
      <c r="A183" s="39"/>
      <c r="B183" s="165"/>
      <c r="C183" s="172" t="s">
        <v>316</v>
      </c>
      <c r="D183" s="178" t="s">
        <v>317</v>
      </c>
      <c r="E183" s="178" t="s">
        <v>318</v>
      </c>
      <c r="F183" s="178" t="s">
        <v>319</v>
      </c>
      <c r="G183" s="179" t="s">
        <v>320</v>
      </c>
      <c r="H183" s="304">
        <v>0</v>
      </c>
      <c r="I183" s="305">
        <v>0</v>
      </c>
      <c r="J183" s="304">
        <v>0</v>
      </c>
      <c r="K183" s="305">
        <v>0</v>
      </c>
      <c r="L183" s="304">
        <v>0</v>
      </c>
      <c r="M183" s="305">
        <v>0</v>
      </c>
      <c r="N183" s="5"/>
      <c r="O183" s="5"/>
      <c r="P183" s="5"/>
      <c r="Q183" s="5"/>
      <c r="R183" s="5"/>
      <c r="T183" s="3"/>
    </row>
    <row r="184" spans="1:20" ht="14" customHeight="1" x14ac:dyDescent="0.3">
      <c r="A184" s="5"/>
      <c r="B184" s="287"/>
      <c r="C184" s="287"/>
      <c r="D184" s="287"/>
      <c r="E184" s="287"/>
      <c r="F184" s="287"/>
      <c r="G184" s="3"/>
      <c r="H184" s="3"/>
      <c r="K184" s="5"/>
      <c r="L184" s="5"/>
      <c r="M184" s="5"/>
      <c r="N184" s="5"/>
      <c r="O184" s="5"/>
      <c r="P184" s="5"/>
      <c r="Q184" s="5"/>
      <c r="R184" s="5"/>
      <c r="T184" s="3"/>
    </row>
    <row r="185" spans="1:20" ht="14.5" customHeight="1" x14ac:dyDescent="0.3">
      <c r="A185" s="5"/>
      <c r="B185" s="287"/>
      <c r="C185" s="287"/>
      <c r="D185" s="287"/>
      <c r="E185" s="287"/>
      <c r="F185" s="287"/>
      <c r="G185" s="3"/>
      <c r="H185" s="3"/>
      <c r="I185" s="5"/>
      <c r="J185" s="5"/>
      <c r="K185" s="5"/>
      <c r="L185" s="5"/>
      <c r="M185" s="5"/>
      <c r="N185" s="5"/>
      <c r="O185" s="5"/>
      <c r="P185" s="5"/>
      <c r="Q185" s="5"/>
      <c r="R185" s="5"/>
      <c r="T185" s="3"/>
    </row>
    <row r="186" spans="1:20" ht="14.5" customHeight="1" x14ac:dyDescent="0.3">
      <c r="A186" s="5"/>
      <c r="B186" s="287"/>
      <c r="C186" s="287"/>
      <c r="D186" s="287"/>
      <c r="E186" s="287"/>
      <c r="F186" s="287"/>
      <c r="G186" s="3"/>
      <c r="H186" s="3"/>
      <c r="I186" s="5"/>
      <c r="J186" s="4"/>
      <c r="K186" s="4"/>
      <c r="L186" s="5"/>
      <c r="M186" s="5"/>
      <c r="N186" s="5"/>
      <c r="O186" s="5"/>
      <c r="P186" s="5"/>
      <c r="Q186" s="5"/>
      <c r="R186" s="5"/>
      <c r="T186" s="3"/>
    </row>
    <row r="187" spans="1:20" ht="14" customHeight="1" x14ac:dyDescent="0.3">
      <c r="A187" s="5"/>
      <c r="B187" s="287"/>
      <c r="C187" s="287"/>
      <c r="D187" s="287"/>
      <c r="E187" s="287"/>
      <c r="F187" s="287"/>
      <c r="G187" s="3"/>
      <c r="H187" s="3"/>
      <c r="I187" s="5"/>
      <c r="J187" s="4"/>
      <c r="K187" s="4"/>
      <c r="L187" s="5"/>
      <c r="M187" s="5"/>
      <c r="N187" s="5"/>
      <c r="O187" s="5"/>
      <c r="P187" s="5"/>
      <c r="Q187" s="5"/>
      <c r="R187" s="5"/>
      <c r="T187" s="3"/>
    </row>
    <row r="188" spans="1:20" ht="14" customHeight="1" x14ac:dyDescent="0.3">
      <c r="A188" s="5"/>
      <c r="B188" s="287"/>
      <c r="C188" s="287"/>
      <c r="D188" s="287"/>
      <c r="E188" s="287"/>
      <c r="F188" s="287"/>
      <c r="G188" s="3"/>
      <c r="H188" s="3"/>
      <c r="I188" s="5"/>
      <c r="J188" s="4"/>
      <c r="K188" s="4"/>
      <c r="L188" s="5"/>
      <c r="M188" s="5"/>
      <c r="N188" s="5"/>
      <c r="O188" s="5"/>
      <c r="P188" s="5"/>
      <c r="Q188" s="5"/>
      <c r="R188" s="5"/>
      <c r="T188" s="3"/>
    </row>
    <row r="189" spans="1:20" ht="14.5" customHeight="1" x14ac:dyDescent="0.3">
      <c r="A189" s="5"/>
      <c r="B189" s="287"/>
      <c r="C189" s="287"/>
      <c r="D189" s="287"/>
      <c r="E189" s="287"/>
      <c r="F189" s="287"/>
      <c r="G189" s="3"/>
      <c r="H189" s="3"/>
      <c r="I189" s="5"/>
      <c r="J189" s="3"/>
      <c r="K189" s="3"/>
      <c r="L189" s="5"/>
      <c r="M189" s="5"/>
      <c r="N189" s="5"/>
      <c r="O189" s="5"/>
      <c r="P189" s="5"/>
      <c r="Q189" s="5"/>
      <c r="R189" s="5"/>
      <c r="T189" s="3"/>
    </row>
    <row r="190" spans="1:20" ht="14.5" customHeight="1" x14ac:dyDescent="0.3">
      <c r="A190" s="5"/>
      <c r="B190" s="287"/>
      <c r="C190" s="287"/>
      <c r="D190" s="287"/>
      <c r="E190" s="287"/>
      <c r="F190" s="287"/>
      <c r="G190" s="3"/>
      <c r="H190" s="3"/>
      <c r="I190" s="5"/>
      <c r="J190" s="3"/>
      <c r="K190" s="3"/>
      <c r="L190" s="5"/>
      <c r="M190" s="5"/>
      <c r="N190" s="5"/>
      <c r="O190" s="5"/>
      <c r="P190" s="5"/>
      <c r="Q190" s="5"/>
      <c r="R190" s="5"/>
      <c r="T190" s="3"/>
    </row>
    <row r="191" spans="1:20" ht="14.5" customHeight="1" x14ac:dyDescent="0.3">
      <c r="A191" s="39"/>
      <c r="B191" s="287"/>
      <c r="C191" s="287"/>
      <c r="D191" s="287"/>
      <c r="E191" s="287"/>
      <c r="F191" s="287"/>
      <c r="G191" s="3"/>
      <c r="H191" s="3"/>
      <c r="I191" s="5"/>
      <c r="J191" s="3"/>
      <c r="K191" s="3"/>
      <c r="L191" s="5"/>
      <c r="M191" s="5"/>
      <c r="N191" s="5"/>
      <c r="O191" s="5"/>
      <c r="P191" s="5"/>
      <c r="Q191" s="5"/>
      <c r="R191" s="5"/>
      <c r="T191" s="3"/>
    </row>
    <row r="192" spans="1:20" ht="14.5" customHeight="1" x14ac:dyDescent="0.3">
      <c r="A192" s="39"/>
      <c r="B192" s="287"/>
      <c r="C192" s="287"/>
      <c r="D192" s="287"/>
      <c r="E192" s="287"/>
      <c r="F192" s="287"/>
      <c r="G192" s="3"/>
      <c r="H192" s="3"/>
      <c r="I192" s="5"/>
      <c r="J192" s="12"/>
      <c r="K192" s="12"/>
      <c r="L192" s="5"/>
      <c r="M192" s="5"/>
      <c r="N192" s="5"/>
      <c r="O192" s="5"/>
      <c r="P192" s="5"/>
      <c r="Q192" s="5"/>
      <c r="R192" s="5"/>
      <c r="T192" s="3"/>
    </row>
    <row r="193" spans="1:20" ht="14.5" customHeight="1" x14ac:dyDescent="0.3">
      <c r="A193" s="5"/>
      <c r="B193" s="287"/>
      <c r="C193" s="287"/>
      <c r="D193" s="287"/>
      <c r="E193" s="287"/>
      <c r="F193" s="287"/>
      <c r="G193" s="3"/>
      <c r="H193" s="3"/>
      <c r="I193" s="5"/>
      <c r="J193" s="40"/>
      <c r="K193" s="40"/>
      <c r="L193" s="5"/>
      <c r="M193" s="5"/>
      <c r="N193" s="5"/>
      <c r="O193" s="5"/>
      <c r="P193" s="5"/>
      <c r="Q193" s="5"/>
      <c r="R193" s="5"/>
      <c r="T193" s="3"/>
    </row>
    <row r="194" spans="1:20" ht="14.5" customHeight="1" x14ac:dyDescent="0.3">
      <c r="A194" s="5"/>
      <c r="B194" s="287"/>
      <c r="C194" s="287"/>
      <c r="D194" s="287"/>
      <c r="E194" s="287"/>
      <c r="F194" s="287"/>
      <c r="G194" s="3"/>
      <c r="H194" s="3"/>
      <c r="I194" s="5"/>
      <c r="J194" s="40"/>
      <c r="K194" s="40"/>
      <c r="L194" s="5"/>
      <c r="M194" s="5"/>
      <c r="N194" s="5"/>
      <c r="O194" s="5"/>
      <c r="P194" s="5"/>
      <c r="Q194" s="5"/>
      <c r="R194" s="5"/>
      <c r="T194" s="3"/>
    </row>
    <row r="195" spans="1:20" ht="14.5" customHeight="1" x14ac:dyDescent="0.3">
      <c r="A195" s="5"/>
      <c r="B195" s="287"/>
      <c r="C195" s="287"/>
      <c r="D195" s="287"/>
      <c r="E195" s="287"/>
      <c r="F195" s="287"/>
      <c r="G195" s="3"/>
      <c r="H195" s="3"/>
      <c r="I195" s="22"/>
      <c r="J195" s="288"/>
      <c r="K195" s="288"/>
      <c r="L195" s="22"/>
      <c r="M195" s="4"/>
      <c r="N195" s="4"/>
      <c r="O195" s="4"/>
      <c r="P195" s="4"/>
      <c r="Q195" s="4"/>
      <c r="R195" s="4"/>
      <c r="T195" s="3"/>
    </row>
    <row r="196" spans="1:20" ht="14.5" customHeight="1" x14ac:dyDescent="0.3">
      <c r="A196" s="5"/>
      <c r="B196" s="287"/>
      <c r="C196" s="287"/>
      <c r="D196" s="287"/>
      <c r="E196" s="287"/>
      <c r="F196" s="287"/>
      <c r="G196" s="3"/>
      <c r="H196" s="3"/>
      <c r="I196" s="22"/>
      <c r="J196" s="288"/>
      <c r="K196" s="288"/>
      <c r="L196" s="22"/>
      <c r="M196" s="4"/>
      <c r="N196" s="4"/>
      <c r="O196" s="4"/>
      <c r="P196" s="4"/>
      <c r="Q196" s="4"/>
      <c r="R196" s="4"/>
      <c r="T196" s="3"/>
    </row>
    <row r="197" spans="1:20" ht="14.5" customHeight="1" x14ac:dyDescent="0.3">
      <c r="A197" s="5"/>
      <c r="B197" s="287"/>
      <c r="C197" s="287"/>
      <c r="D197" s="287"/>
      <c r="E197" s="287"/>
      <c r="F197" s="287"/>
      <c r="G197" s="3"/>
      <c r="H197" s="3"/>
      <c r="I197" s="22"/>
      <c r="J197" s="288"/>
      <c r="K197" s="288"/>
      <c r="L197" s="22"/>
      <c r="M197" s="5"/>
      <c r="N197" s="5"/>
      <c r="O197" s="5"/>
      <c r="P197" s="5"/>
      <c r="Q197" s="5"/>
      <c r="R197" s="5"/>
      <c r="T197" s="3"/>
    </row>
    <row r="198" spans="1:20" ht="18" customHeight="1" x14ac:dyDescent="0.3">
      <c r="A198" s="5"/>
      <c r="B198" s="80"/>
      <c r="C198" s="284"/>
      <c r="D198" s="33"/>
      <c r="E198" s="40"/>
      <c r="F198" s="40"/>
      <c r="G198" s="30"/>
      <c r="H198" s="30"/>
      <c r="I198" s="22"/>
      <c r="J198" s="288"/>
      <c r="K198" s="288"/>
      <c r="L198" s="22"/>
      <c r="M198" s="22"/>
      <c r="N198" s="24"/>
      <c r="O198" s="24"/>
      <c r="P198" s="24"/>
      <c r="Q198" s="24"/>
      <c r="R198" s="24"/>
      <c r="T198" s="3"/>
    </row>
    <row r="199" spans="1:20" ht="15.5" customHeight="1" x14ac:dyDescent="0.3">
      <c r="A199" s="39"/>
      <c r="B199" s="287"/>
      <c r="C199" s="287"/>
      <c r="D199" s="287"/>
      <c r="E199" s="287"/>
      <c r="F199" s="287"/>
      <c r="G199" s="3"/>
      <c r="H199" s="3"/>
      <c r="I199" s="22"/>
      <c r="J199" s="288"/>
      <c r="K199" s="288"/>
      <c r="L199" s="22"/>
      <c r="M199" s="5"/>
      <c r="N199" s="5"/>
      <c r="O199" s="5"/>
      <c r="P199" s="5"/>
      <c r="Q199" s="5"/>
      <c r="R199" s="5"/>
      <c r="T199" s="3"/>
    </row>
    <row r="200" spans="1:20" ht="14.5" customHeight="1" x14ac:dyDescent="0.3">
      <c r="A200" s="39"/>
      <c r="B200" s="287"/>
      <c r="C200" s="287"/>
      <c r="D200" s="287"/>
      <c r="E200" s="287"/>
      <c r="F200" s="287"/>
      <c r="G200" s="3"/>
      <c r="H200" s="3"/>
      <c r="I200" s="5"/>
      <c r="J200" s="16"/>
      <c r="K200" s="16"/>
      <c r="L200" s="5"/>
      <c r="M200" s="5"/>
      <c r="N200" s="5"/>
      <c r="O200" s="5"/>
      <c r="P200" s="5"/>
      <c r="Q200" s="5"/>
      <c r="R200" s="5"/>
      <c r="T200" s="3"/>
    </row>
    <row r="201" spans="1:20" ht="14.5" customHeight="1" x14ac:dyDescent="0.3">
      <c r="A201" s="39"/>
      <c r="B201" s="287"/>
      <c r="C201" s="287"/>
      <c r="D201" s="287"/>
      <c r="E201" s="287"/>
      <c r="F201" s="287"/>
      <c r="G201" s="3"/>
      <c r="H201" s="3"/>
      <c r="I201" s="4"/>
      <c r="J201" s="16"/>
      <c r="K201" s="16"/>
      <c r="L201" s="4"/>
      <c r="M201" s="4"/>
      <c r="N201" s="4"/>
      <c r="O201" s="4"/>
      <c r="P201" s="4"/>
      <c r="Q201" s="4"/>
      <c r="R201" s="4"/>
      <c r="T201" s="3"/>
    </row>
    <row r="202" spans="1:20" ht="14.5" customHeight="1" x14ac:dyDescent="0.3">
      <c r="A202" s="38"/>
      <c r="B202" s="287"/>
      <c r="C202" s="287"/>
      <c r="D202" s="287"/>
      <c r="E202" s="287"/>
      <c r="F202" s="287"/>
      <c r="G202" s="3"/>
      <c r="H202" s="3"/>
      <c r="I202" s="4"/>
      <c r="J202" s="16"/>
      <c r="K202" s="16"/>
      <c r="L202" s="4"/>
      <c r="M202" s="4"/>
      <c r="N202" s="4"/>
      <c r="O202" s="4"/>
      <c r="P202" s="4"/>
      <c r="Q202" s="4"/>
      <c r="R202" s="4"/>
      <c r="T202" s="3"/>
    </row>
    <row r="203" spans="1:20" ht="14" customHeight="1" x14ac:dyDescent="0.3">
      <c r="A203" s="38"/>
      <c r="B203" s="287"/>
      <c r="C203" s="287"/>
      <c r="D203" s="287"/>
      <c r="E203" s="287"/>
      <c r="F203" s="287"/>
      <c r="G203" s="3"/>
      <c r="H203" s="3"/>
      <c r="I203" s="5"/>
      <c r="J203" s="16"/>
      <c r="K203" s="16"/>
      <c r="L203" s="5"/>
      <c r="M203" s="5"/>
      <c r="N203" s="5"/>
      <c r="O203" s="5"/>
      <c r="P203" s="5"/>
      <c r="Q203" s="5"/>
      <c r="R203" s="5"/>
      <c r="T203" s="3"/>
    </row>
    <row r="204" spans="1:20" ht="14" customHeight="1" x14ac:dyDescent="0.3">
      <c r="A204" s="39"/>
      <c r="B204" s="287"/>
      <c r="C204" s="287"/>
      <c r="D204" s="287"/>
      <c r="E204" s="287"/>
      <c r="F204" s="287"/>
      <c r="G204" s="3"/>
      <c r="H204" s="3"/>
      <c r="I204" s="5"/>
      <c r="J204" s="16"/>
      <c r="K204" s="16"/>
      <c r="L204" s="5"/>
      <c r="M204" s="5"/>
      <c r="N204" s="5"/>
      <c r="O204" s="5"/>
      <c r="P204" s="5"/>
      <c r="Q204" s="5"/>
      <c r="R204" s="5"/>
      <c r="T204" s="3"/>
    </row>
    <row r="205" spans="1:20" ht="14.5" customHeight="1" x14ac:dyDescent="0.3">
      <c r="A205" s="39"/>
      <c r="B205" s="287"/>
      <c r="C205" s="287"/>
      <c r="D205" s="287"/>
      <c r="E205" s="287"/>
      <c r="F205" s="287"/>
      <c r="G205" s="3"/>
      <c r="H205" s="3"/>
      <c r="I205" s="5"/>
      <c r="J205" s="16"/>
      <c r="K205" s="16"/>
      <c r="L205" s="5"/>
      <c r="M205" s="5"/>
      <c r="N205" s="5"/>
      <c r="O205" s="5"/>
      <c r="P205" s="5"/>
      <c r="Q205" s="5"/>
      <c r="R205" s="5"/>
      <c r="T205" s="3"/>
    </row>
    <row r="206" spans="1:20" ht="14.5" customHeight="1" x14ac:dyDescent="0.3">
      <c r="A206" s="38"/>
      <c r="B206" s="287"/>
      <c r="C206" s="287"/>
      <c r="D206" s="287"/>
      <c r="E206" s="287"/>
      <c r="F206" s="287"/>
      <c r="G206" s="3"/>
      <c r="H206" s="3"/>
      <c r="I206" s="4"/>
      <c r="J206" s="16"/>
      <c r="K206" s="16"/>
      <c r="L206" s="4"/>
      <c r="M206" s="4"/>
      <c r="N206" s="4"/>
      <c r="O206" s="4"/>
      <c r="P206" s="4"/>
      <c r="Q206" s="4"/>
      <c r="R206" s="4"/>
      <c r="T206" s="3"/>
    </row>
    <row r="207" spans="1:20" ht="14.5" customHeight="1" x14ac:dyDescent="0.3">
      <c r="A207" s="38"/>
      <c r="B207" s="287"/>
      <c r="C207" s="287"/>
      <c r="D207" s="287"/>
      <c r="E207" s="287"/>
      <c r="F207" s="287"/>
      <c r="G207" s="3"/>
      <c r="H207" s="3"/>
      <c r="I207" s="5"/>
      <c r="J207" s="16"/>
      <c r="K207" s="16"/>
      <c r="L207" s="5"/>
      <c r="M207" s="5"/>
      <c r="N207" s="5"/>
      <c r="O207" s="5"/>
      <c r="P207" s="5"/>
      <c r="Q207" s="5"/>
      <c r="R207" s="5"/>
      <c r="T207" s="3"/>
    </row>
    <row r="208" spans="1:20" x14ac:dyDescent="0.3">
      <c r="A208" s="39"/>
      <c r="B208" s="5"/>
      <c r="C208" s="5"/>
      <c r="D208" s="25"/>
      <c r="E208" s="5"/>
      <c r="F208" s="5"/>
      <c r="G208" s="5"/>
      <c r="H208" s="5"/>
      <c r="I208" s="22"/>
      <c r="J208" s="16"/>
      <c r="K208" s="16"/>
      <c r="L208" s="22"/>
      <c r="M208" s="5"/>
      <c r="N208" s="5"/>
      <c r="O208" s="5"/>
      <c r="P208" s="5"/>
      <c r="Q208" s="5"/>
      <c r="R208" s="5"/>
      <c r="T208" s="3"/>
    </row>
    <row r="209" spans="1:20" x14ac:dyDescent="0.3">
      <c r="A209" s="39"/>
      <c r="B209" s="5"/>
      <c r="C209" s="5"/>
      <c r="D209" s="25"/>
      <c r="E209" s="5"/>
      <c r="F209" s="5"/>
      <c r="G209" s="5"/>
      <c r="H209" s="5"/>
      <c r="I209" s="32"/>
      <c r="J209" s="16"/>
      <c r="K209" s="16"/>
      <c r="L209" s="32"/>
      <c r="M209" s="5"/>
      <c r="N209" s="5"/>
      <c r="O209" s="5"/>
      <c r="P209" s="5"/>
      <c r="Q209" s="5"/>
      <c r="R209" s="5"/>
      <c r="S209" s="7"/>
      <c r="T209" s="3"/>
    </row>
    <row r="210" spans="1:20" ht="23" customHeight="1" x14ac:dyDescent="0.3">
      <c r="A210" s="38"/>
      <c r="B210" s="5"/>
      <c r="C210" s="5"/>
      <c r="D210" s="25"/>
      <c r="E210" s="5"/>
      <c r="F210" s="5"/>
      <c r="G210" s="5"/>
      <c r="H210" s="5"/>
      <c r="I210" s="29"/>
      <c r="J210" s="16"/>
      <c r="K210" s="16"/>
      <c r="L210" s="29"/>
      <c r="M210" s="5"/>
      <c r="N210" s="5"/>
      <c r="O210" s="5"/>
      <c r="P210" s="5"/>
      <c r="Q210" s="5"/>
      <c r="R210" s="5"/>
      <c r="T210" s="3"/>
    </row>
    <row r="211" spans="1:20" x14ac:dyDescent="0.3">
      <c r="A211" s="38"/>
      <c r="B211" s="5"/>
      <c r="C211" s="5"/>
      <c r="D211" s="25"/>
      <c r="E211" s="5"/>
      <c r="F211" s="5"/>
      <c r="G211" s="5"/>
      <c r="H211" s="5"/>
      <c r="I211" s="22"/>
      <c r="J211" s="16"/>
      <c r="K211" s="16"/>
      <c r="L211" s="22"/>
      <c r="M211" s="22"/>
      <c r="N211" s="24"/>
      <c r="O211" s="24"/>
      <c r="P211" s="24"/>
      <c r="Q211" s="24"/>
      <c r="R211" s="24"/>
    </row>
    <row r="212" spans="1:20" x14ac:dyDescent="0.3">
      <c r="A212" s="39"/>
      <c r="B212" s="5"/>
      <c r="C212" s="5"/>
      <c r="D212" s="25"/>
      <c r="E212" s="5"/>
      <c r="F212" s="5"/>
      <c r="G212" s="5"/>
      <c r="H212" s="5"/>
      <c r="I212" s="5"/>
      <c r="J212" s="16"/>
      <c r="K212" s="16"/>
      <c r="L212" s="5"/>
      <c r="M212" s="22"/>
      <c r="N212" s="24"/>
      <c r="O212" s="24"/>
      <c r="P212" s="24"/>
      <c r="Q212" s="24"/>
      <c r="R212" s="24"/>
    </row>
    <row r="213" spans="1:20" ht="18" customHeight="1" x14ac:dyDescent="0.3">
      <c r="A213" s="5"/>
      <c r="B213" s="5"/>
      <c r="C213" s="5"/>
      <c r="D213" s="25"/>
      <c r="E213" s="5"/>
      <c r="F213" s="5"/>
      <c r="G213" s="5"/>
      <c r="H213" s="5"/>
      <c r="I213" s="22"/>
      <c r="J213" s="16"/>
      <c r="K213" s="16"/>
      <c r="L213" s="22"/>
      <c r="M213" s="72"/>
      <c r="N213" s="24"/>
      <c r="O213" s="24"/>
      <c r="P213" s="24"/>
      <c r="Q213" s="24"/>
      <c r="R213" s="24"/>
    </row>
    <row r="214" spans="1:20" ht="18" customHeight="1" x14ac:dyDescent="0.3">
      <c r="A214" s="39"/>
      <c r="B214" s="5"/>
      <c r="C214" s="5"/>
      <c r="D214" s="25"/>
      <c r="E214" s="5"/>
      <c r="F214" s="5"/>
      <c r="G214" s="5"/>
      <c r="H214" s="5"/>
      <c r="I214" s="22"/>
      <c r="J214" s="16"/>
      <c r="K214" s="16"/>
      <c r="L214" s="22"/>
      <c r="M214" s="72"/>
      <c r="N214" s="24"/>
      <c r="O214" s="24"/>
      <c r="P214" s="24"/>
      <c r="Q214" s="24"/>
      <c r="R214" s="24"/>
    </row>
    <row r="215" spans="1:20" ht="18" customHeight="1" x14ac:dyDescent="0.3">
      <c r="A215" s="39"/>
      <c r="B215" s="5"/>
      <c r="C215" s="5"/>
      <c r="D215" s="25"/>
      <c r="E215" s="5"/>
      <c r="F215" s="5"/>
      <c r="G215" s="4"/>
      <c r="H215" s="4"/>
      <c r="I215" s="22"/>
      <c r="J215" s="16"/>
      <c r="K215" s="16"/>
      <c r="L215" s="22"/>
      <c r="M215" s="30"/>
      <c r="N215" s="71"/>
      <c r="O215" s="71"/>
      <c r="P215" s="71"/>
      <c r="Q215" s="71"/>
      <c r="R215" s="71"/>
    </row>
    <row r="216" spans="1:20" ht="18" customHeight="1" x14ac:dyDescent="0.3">
      <c r="A216" s="39"/>
      <c r="B216" s="5"/>
      <c r="C216" s="5"/>
      <c r="D216" s="25"/>
      <c r="E216" s="5"/>
      <c r="F216" s="5"/>
      <c r="G216" s="4"/>
      <c r="H216" s="4"/>
      <c r="I216" s="22"/>
      <c r="J216" s="16"/>
      <c r="K216" s="16"/>
      <c r="L216" s="22"/>
      <c r="M216" s="30"/>
      <c r="N216" s="71"/>
      <c r="O216" s="71"/>
      <c r="P216" s="71"/>
      <c r="Q216" s="71"/>
      <c r="R216" s="71"/>
    </row>
    <row r="217" spans="1:20" ht="18" customHeight="1" x14ac:dyDescent="0.3">
      <c r="A217" s="39"/>
      <c r="B217" s="5"/>
      <c r="C217" s="5"/>
      <c r="D217" s="25"/>
      <c r="E217" s="5"/>
      <c r="F217" s="5"/>
      <c r="G217" s="4"/>
      <c r="H217" s="4"/>
      <c r="I217" s="22"/>
      <c r="J217" s="16"/>
      <c r="K217" s="16"/>
      <c r="L217" s="22"/>
      <c r="M217" s="30"/>
      <c r="N217" s="71"/>
      <c r="O217" s="71"/>
      <c r="P217" s="71"/>
      <c r="Q217" s="71"/>
      <c r="R217" s="71"/>
    </row>
    <row r="218" spans="1:20" ht="18" customHeight="1" x14ac:dyDescent="0.3">
      <c r="A218" s="39"/>
      <c r="B218" s="5"/>
      <c r="C218" s="5"/>
      <c r="D218" s="25"/>
      <c r="E218" s="5"/>
      <c r="F218" s="5"/>
      <c r="G218" s="4"/>
      <c r="H218" s="4"/>
      <c r="I218" s="22"/>
      <c r="J218" s="16"/>
      <c r="K218" s="16"/>
      <c r="L218" s="22"/>
      <c r="M218" s="30"/>
      <c r="N218" s="71"/>
      <c r="O218" s="71"/>
      <c r="P218" s="71"/>
      <c r="Q218" s="71"/>
      <c r="R218" s="71"/>
    </row>
    <row r="219" spans="1:20" ht="18" customHeight="1" x14ac:dyDescent="0.3">
      <c r="A219" s="39"/>
      <c r="B219" s="5"/>
      <c r="C219" s="5"/>
      <c r="D219" s="25"/>
      <c r="E219" s="5"/>
      <c r="F219" s="5"/>
      <c r="G219" s="4"/>
      <c r="H219" s="4"/>
      <c r="I219" s="72"/>
      <c r="J219" s="16"/>
      <c r="K219" s="16"/>
      <c r="L219" s="72"/>
      <c r="M219" s="30"/>
      <c r="N219" s="71"/>
      <c r="O219" s="71"/>
      <c r="P219" s="71"/>
      <c r="Q219" s="71"/>
      <c r="R219" s="71"/>
    </row>
    <row r="220" spans="1:20" ht="18" customHeight="1" x14ac:dyDescent="0.3">
      <c r="A220" s="39"/>
      <c r="B220" s="5"/>
      <c r="C220" s="5"/>
      <c r="D220" s="25"/>
      <c r="E220" s="5"/>
      <c r="F220" s="5"/>
      <c r="G220" s="4"/>
      <c r="H220" s="4"/>
      <c r="I220" s="72"/>
      <c r="J220" s="288"/>
      <c r="K220" s="288"/>
      <c r="L220" s="72"/>
      <c r="M220" s="30"/>
      <c r="N220" s="71"/>
      <c r="O220" s="71"/>
      <c r="P220" s="71"/>
      <c r="Q220" s="71"/>
      <c r="R220" s="71"/>
    </row>
    <row r="221" spans="1:20" ht="22.5" customHeight="1" x14ac:dyDescent="0.3">
      <c r="A221" s="39"/>
      <c r="B221" s="5"/>
      <c r="C221" s="5"/>
      <c r="D221" s="25"/>
      <c r="E221" s="5"/>
      <c r="F221" s="5"/>
      <c r="G221" s="4"/>
      <c r="H221" s="4"/>
      <c r="I221" s="30"/>
      <c r="J221" s="16"/>
      <c r="K221" s="16"/>
      <c r="L221" s="30"/>
      <c r="M221" s="4"/>
      <c r="N221" s="74"/>
      <c r="O221" s="74"/>
      <c r="P221" s="74"/>
      <c r="Q221" s="74"/>
      <c r="R221" s="74"/>
    </row>
    <row r="222" spans="1:20" ht="18" customHeight="1" x14ac:dyDescent="0.3">
      <c r="A222" s="38"/>
      <c r="B222" s="5"/>
      <c r="C222" s="5"/>
      <c r="D222" s="25"/>
      <c r="E222" s="5"/>
      <c r="F222" s="5"/>
      <c r="G222" s="5"/>
      <c r="H222" s="5"/>
      <c r="I222" s="30"/>
      <c r="J222" s="16"/>
      <c r="K222" s="16"/>
      <c r="L222" s="30"/>
      <c r="M222" s="22"/>
      <c r="N222" s="24"/>
      <c r="O222" s="24"/>
      <c r="P222" s="24"/>
      <c r="Q222" s="24"/>
      <c r="R222" s="24"/>
    </row>
    <row r="223" spans="1:20" ht="18" customHeight="1" x14ac:dyDescent="0.3">
      <c r="A223" s="38"/>
      <c r="B223" s="5"/>
      <c r="C223" s="5"/>
      <c r="D223" s="25"/>
      <c r="E223" s="5"/>
      <c r="F223" s="5"/>
      <c r="G223" s="5"/>
      <c r="H223" s="5"/>
      <c r="I223" s="30"/>
      <c r="J223" s="16"/>
      <c r="K223" s="16"/>
      <c r="L223" s="30"/>
      <c r="M223" s="22"/>
      <c r="N223" s="24"/>
      <c r="O223" s="24"/>
      <c r="P223" s="24"/>
      <c r="Q223" s="24"/>
      <c r="R223" s="24"/>
    </row>
    <row r="224" spans="1:20" ht="18" customHeight="1" x14ac:dyDescent="0.3">
      <c r="A224" s="38"/>
      <c r="B224" s="5"/>
      <c r="C224" s="5"/>
      <c r="D224" s="25"/>
      <c r="E224" s="5"/>
      <c r="F224" s="5"/>
      <c r="G224" s="5"/>
      <c r="H224" s="5"/>
      <c r="I224" s="30"/>
      <c r="J224" s="16"/>
      <c r="K224" s="16"/>
      <c r="L224" s="30"/>
      <c r="M224" s="22"/>
      <c r="N224" s="73"/>
      <c r="O224" s="73"/>
      <c r="P224" s="73"/>
      <c r="Q224" s="73"/>
      <c r="R224" s="73"/>
    </row>
    <row r="225" spans="1:18" ht="18" customHeight="1" x14ac:dyDescent="0.3">
      <c r="A225" s="38"/>
      <c r="B225" s="5"/>
      <c r="C225" s="5"/>
      <c r="D225" s="25"/>
      <c r="E225" s="5"/>
      <c r="F225" s="5"/>
      <c r="G225" s="4"/>
      <c r="H225" s="4"/>
      <c r="I225" s="30"/>
      <c r="J225" s="16"/>
      <c r="K225" s="16"/>
      <c r="L225" s="30"/>
      <c r="M225" s="4"/>
      <c r="N225" s="27"/>
      <c r="O225" s="27"/>
      <c r="P225" s="27"/>
      <c r="Q225" s="27"/>
      <c r="R225" s="27"/>
    </row>
    <row r="226" spans="1:18" ht="18" customHeight="1" x14ac:dyDescent="0.3">
      <c r="A226" s="38"/>
      <c r="B226" s="5"/>
      <c r="C226" s="5"/>
      <c r="D226" s="25"/>
      <c r="E226" s="5"/>
      <c r="F226" s="5"/>
      <c r="G226" s="4"/>
      <c r="H226" s="4"/>
      <c r="I226" s="30"/>
      <c r="J226" s="16"/>
      <c r="K226" s="16"/>
      <c r="L226" s="30"/>
      <c r="M226" s="5"/>
      <c r="N226" s="40"/>
      <c r="O226" s="40"/>
      <c r="P226" s="40"/>
      <c r="Q226" s="40"/>
      <c r="R226" s="40"/>
    </row>
    <row r="227" spans="1:18" x14ac:dyDescent="0.3">
      <c r="A227" s="38"/>
      <c r="B227" s="5"/>
      <c r="C227" s="5"/>
      <c r="D227" s="25"/>
      <c r="E227" s="5"/>
      <c r="F227" s="5"/>
      <c r="G227" s="4"/>
      <c r="H227" s="4"/>
      <c r="I227" s="4"/>
      <c r="J227" s="16"/>
      <c r="K227" s="16"/>
      <c r="L227" s="4"/>
      <c r="M227" s="5"/>
      <c r="N227" s="40"/>
      <c r="O227" s="40"/>
      <c r="P227" s="40"/>
      <c r="Q227" s="40"/>
      <c r="R227" s="40"/>
    </row>
    <row r="228" spans="1:18" x14ac:dyDescent="0.3">
      <c r="A228" s="38"/>
      <c r="B228" s="287"/>
      <c r="C228" s="287"/>
      <c r="D228" s="285"/>
      <c r="E228" s="287"/>
      <c r="F228" s="287"/>
      <c r="G228" s="3"/>
      <c r="H228" s="3"/>
      <c r="I228" s="22"/>
      <c r="J228" s="288"/>
      <c r="K228" s="288"/>
      <c r="L228" s="22"/>
    </row>
    <row r="229" spans="1:18" x14ac:dyDescent="0.3">
      <c r="A229" s="39"/>
      <c r="B229" s="287"/>
      <c r="C229" s="287"/>
      <c r="D229" s="285"/>
      <c r="E229" s="287"/>
      <c r="F229" s="287"/>
      <c r="G229" s="3"/>
      <c r="H229" s="3"/>
      <c r="I229" s="22"/>
      <c r="J229" s="288"/>
      <c r="K229" s="288"/>
      <c r="L229" s="22"/>
    </row>
    <row r="230" spans="1:18" x14ac:dyDescent="0.3">
      <c r="A230" s="39"/>
      <c r="B230" s="287"/>
      <c r="C230" s="287"/>
      <c r="D230" s="285"/>
      <c r="E230" s="287"/>
      <c r="F230" s="287"/>
      <c r="G230" s="3"/>
      <c r="H230" s="3"/>
      <c r="I230" s="22"/>
      <c r="J230" s="288"/>
      <c r="K230" s="288"/>
      <c r="L230" s="22"/>
    </row>
    <row r="231" spans="1:18" x14ac:dyDescent="0.3">
      <c r="A231" s="39"/>
      <c r="B231" s="22"/>
      <c r="C231" s="22"/>
      <c r="D231" s="33"/>
      <c r="E231" s="40"/>
      <c r="F231" s="40"/>
      <c r="G231" s="4"/>
      <c r="H231" s="12"/>
      <c r="I231" s="4"/>
      <c r="J231" s="288"/>
      <c r="K231" s="288"/>
      <c r="L231" s="4"/>
    </row>
    <row r="232" spans="1:18" x14ac:dyDescent="0.3">
      <c r="A232" s="4"/>
      <c r="B232" s="22"/>
      <c r="C232" s="22"/>
      <c r="D232" s="33"/>
      <c r="E232" s="40"/>
      <c r="F232" s="40"/>
      <c r="G232" s="5"/>
      <c r="H232" s="40"/>
      <c r="I232" s="5"/>
      <c r="J232" s="288"/>
      <c r="K232" s="288"/>
      <c r="L232" s="5"/>
    </row>
    <row r="233" spans="1:18" x14ac:dyDescent="0.3">
      <c r="A233" s="5"/>
      <c r="B233" s="22"/>
      <c r="C233" s="22"/>
      <c r="D233" s="33"/>
      <c r="E233" s="40"/>
      <c r="F233" s="40"/>
      <c r="G233" s="5"/>
      <c r="H233" s="40"/>
      <c r="I233" s="5"/>
      <c r="J233" s="288"/>
      <c r="K233" s="288"/>
      <c r="L233" s="5"/>
      <c r="M233" s="3"/>
      <c r="N233" s="16"/>
      <c r="O233" s="16"/>
      <c r="P233" s="16"/>
      <c r="Q233" s="16"/>
      <c r="R233" s="16"/>
    </row>
    <row r="234" spans="1:18" x14ac:dyDescent="0.3">
      <c r="A234" s="5"/>
      <c r="J234" s="288"/>
      <c r="K234" s="288"/>
    </row>
    <row r="235" spans="1:18" x14ac:dyDescent="0.3">
      <c r="J235" s="288"/>
      <c r="K235" s="288"/>
    </row>
    <row r="236" spans="1:18" x14ac:dyDescent="0.3">
      <c r="J236" s="288"/>
      <c r="K236" s="288"/>
    </row>
    <row r="237" spans="1:18" x14ac:dyDescent="0.3">
      <c r="J237" s="288"/>
      <c r="K237" s="288"/>
    </row>
    <row r="238" spans="1:18" x14ac:dyDescent="0.3">
      <c r="J238" s="288"/>
      <c r="K238" s="288"/>
    </row>
    <row r="239" spans="1:18" x14ac:dyDescent="0.3">
      <c r="B239" s="288"/>
      <c r="C239" s="288"/>
      <c r="D239" s="285"/>
      <c r="E239" s="287"/>
      <c r="F239" s="287"/>
      <c r="G239" s="3"/>
      <c r="H239" s="16"/>
      <c r="I239" s="3"/>
      <c r="J239" s="288"/>
      <c r="K239" s="288"/>
      <c r="L239" s="3"/>
      <c r="M239" s="3"/>
      <c r="N239" s="16"/>
      <c r="O239" s="16"/>
      <c r="P239" s="16"/>
      <c r="Q239" s="16"/>
      <c r="R239" s="16"/>
    </row>
    <row r="240" spans="1:18" x14ac:dyDescent="0.3">
      <c r="B240" s="288"/>
      <c r="C240" s="288"/>
      <c r="D240" s="285"/>
      <c r="E240" s="287"/>
      <c r="F240" s="287"/>
      <c r="G240" s="3"/>
      <c r="H240" s="16"/>
      <c r="I240" s="3"/>
      <c r="J240" s="288"/>
      <c r="K240" s="288"/>
      <c r="L240" s="3"/>
      <c r="M240" s="3"/>
      <c r="N240" s="16"/>
      <c r="O240" s="16"/>
      <c r="P240" s="16"/>
      <c r="Q240" s="16"/>
      <c r="R240" s="16"/>
    </row>
    <row r="241" spans="1:18" x14ac:dyDescent="0.3">
      <c r="A241" s="3"/>
      <c r="B241" s="288"/>
      <c r="C241" s="288"/>
      <c r="D241" s="285"/>
      <c r="E241" s="287"/>
      <c r="F241" s="287"/>
      <c r="G241" s="3"/>
      <c r="H241" s="16"/>
      <c r="I241" s="3"/>
      <c r="J241" s="288"/>
      <c r="K241" s="288"/>
      <c r="L241" s="3"/>
      <c r="M241" s="3"/>
      <c r="N241" s="16"/>
      <c r="O241" s="16"/>
      <c r="P241" s="16"/>
      <c r="Q241" s="16"/>
      <c r="R241" s="16"/>
    </row>
    <row r="242" spans="1:18" x14ac:dyDescent="0.3">
      <c r="A242" s="3"/>
      <c r="B242" s="288"/>
      <c r="C242" s="288"/>
      <c r="D242" s="285"/>
      <c r="E242" s="287"/>
      <c r="F242" s="287"/>
      <c r="G242" s="3"/>
      <c r="H242" s="16"/>
      <c r="I242" s="3"/>
      <c r="J242" s="288"/>
      <c r="K242" s="288"/>
      <c r="L242" s="3"/>
      <c r="M242" s="3"/>
      <c r="N242" s="16"/>
      <c r="O242" s="16"/>
      <c r="P242" s="16"/>
      <c r="Q242" s="16"/>
      <c r="R242" s="16"/>
    </row>
    <row r="243" spans="1:18" x14ac:dyDescent="0.3">
      <c r="A243" s="3"/>
      <c r="B243" s="288"/>
      <c r="C243" s="288"/>
      <c r="D243" s="285"/>
      <c r="E243" s="287"/>
      <c r="F243" s="287"/>
      <c r="G243" s="3"/>
      <c r="H243" s="16"/>
      <c r="I243" s="3"/>
      <c r="J243" s="288"/>
      <c r="K243" s="288"/>
      <c r="L243" s="3"/>
      <c r="M243" s="3"/>
      <c r="N243" s="16"/>
      <c r="O243" s="16"/>
      <c r="P243" s="16"/>
      <c r="Q243" s="16"/>
      <c r="R243" s="16"/>
    </row>
    <row r="244" spans="1:18" x14ac:dyDescent="0.3">
      <c r="A244" s="3"/>
      <c r="B244" s="288"/>
      <c r="C244" s="288"/>
      <c r="D244" s="285"/>
      <c r="E244" s="287"/>
      <c r="F244" s="287"/>
      <c r="G244" s="3"/>
      <c r="H244" s="16"/>
      <c r="I244" s="3"/>
      <c r="J244" s="288"/>
      <c r="K244" s="288"/>
      <c r="L244" s="3"/>
      <c r="M244" s="3"/>
      <c r="N244" s="16"/>
      <c r="O244" s="16"/>
      <c r="P244" s="16"/>
      <c r="Q244" s="16"/>
      <c r="R244" s="16"/>
    </row>
    <row r="245" spans="1:18" x14ac:dyDescent="0.3">
      <c r="A245" s="3"/>
      <c r="B245" s="288"/>
      <c r="C245" s="288"/>
      <c r="D245" s="285"/>
      <c r="E245" s="287"/>
      <c r="F245" s="287"/>
      <c r="G245" s="3"/>
      <c r="H245" s="16"/>
      <c r="I245" s="3"/>
      <c r="J245" s="288"/>
      <c r="K245" s="288"/>
      <c r="L245" s="3"/>
      <c r="M245" s="3"/>
      <c r="N245" s="16"/>
      <c r="O245" s="16"/>
      <c r="P245" s="16"/>
      <c r="Q245" s="16"/>
      <c r="R245" s="16"/>
    </row>
    <row r="246" spans="1:18" x14ac:dyDescent="0.3">
      <c r="A246" s="3"/>
      <c r="B246" s="288"/>
      <c r="C246" s="288"/>
      <c r="D246" s="285"/>
      <c r="E246" s="287"/>
      <c r="F246" s="287"/>
      <c r="G246" s="3"/>
      <c r="H246" s="16"/>
      <c r="I246" s="3"/>
      <c r="J246" s="288"/>
      <c r="K246" s="288"/>
      <c r="L246" s="3"/>
      <c r="M246" s="3"/>
      <c r="N246" s="16"/>
      <c r="O246" s="16"/>
      <c r="P246" s="16"/>
      <c r="Q246" s="16"/>
      <c r="R246" s="16"/>
    </row>
    <row r="247" spans="1:18" x14ac:dyDescent="0.3">
      <c r="A247" s="3"/>
      <c r="B247" s="288"/>
      <c r="C247" s="288"/>
      <c r="D247" s="285"/>
      <c r="E247" s="287"/>
      <c r="F247" s="287"/>
      <c r="G247" s="3"/>
      <c r="H247" s="16"/>
      <c r="I247" s="3"/>
      <c r="J247" s="288"/>
      <c r="K247" s="288"/>
      <c r="L247" s="3"/>
      <c r="M247" s="3"/>
      <c r="N247" s="16"/>
      <c r="O247" s="16"/>
      <c r="P247" s="16"/>
      <c r="Q247" s="16"/>
      <c r="R247" s="16"/>
    </row>
    <row r="248" spans="1:18" x14ac:dyDescent="0.3">
      <c r="A248" s="3"/>
      <c r="B248" s="288"/>
      <c r="C248" s="288"/>
      <c r="D248" s="285"/>
      <c r="E248" s="287"/>
      <c r="F248" s="287"/>
      <c r="G248" s="3"/>
      <c r="H248" s="16"/>
      <c r="I248" s="3"/>
      <c r="J248" s="288"/>
      <c r="K248" s="288"/>
      <c r="L248" s="3"/>
      <c r="M248" s="3"/>
      <c r="N248" s="16"/>
      <c r="O248" s="16"/>
      <c r="P248" s="16"/>
      <c r="Q248" s="16"/>
      <c r="R248" s="16"/>
    </row>
    <row r="249" spans="1:18" x14ac:dyDescent="0.3">
      <c r="A249" s="3"/>
      <c r="B249" s="288"/>
      <c r="C249" s="288"/>
      <c r="D249" s="285"/>
      <c r="E249" s="287"/>
      <c r="F249" s="287"/>
      <c r="G249" s="3"/>
      <c r="H249" s="16"/>
      <c r="I249" s="3"/>
      <c r="J249" s="288"/>
      <c r="K249" s="288"/>
      <c r="L249" s="3"/>
      <c r="M249" s="3"/>
      <c r="N249" s="16"/>
      <c r="O249" s="16"/>
      <c r="P249" s="16"/>
      <c r="Q249" s="16"/>
      <c r="R249" s="16"/>
    </row>
    <row r="250" spans="1:18" x14ac:dyDescent="0.3">
      <c r="A250" s="3"/>
      <c r="B250" s="288"/>
      <c r="C250" s="288"/>
      <c r="D250" s="285"/>
      <c r="E250" s="287"/>
      <c r="F250" s="287"/>
      <c r="G250" s="3"/>
      <c r="H250" s="16"/>
      <c r="I250" s="3"/>
      <c r="J250" s="288"/>
      <c r="K250" s="288"/>
      <c r="L250" s="3"/>
      <c r="M250" s="3"/>
      <c r="N250" s="16"/>
      <c r="O250" s="16"/>
      <c r="P250" s="16"/>
      <c r="Q250" s="16"/>
      <c r="R250" s="16"/>
    </row>
    <row r="251" spans="1:18" x14ac:dyDescent="0.3">
      <c r="A251" s="3"/>
      <c r="B251" s="288"/>
      <c r="C251" s="288"/>
      <c r="D251" s="285"/>
      <c r="E251" s="287"/>
      <c r="F251" s="287"/>
      <c r="G251" s="3"/>
      <c r="H251" s="16"/>
      <c r="I251" s="3"/>
      <c r="J251" s="288"/>
      <c r="K251" s="288"/>
      <c r="L251" s="3"/>
      <c r="M251" s="3"/>
      <c r="N251" s="16"/>
      <c r="O251" s="16"/>
      <c r="P251" s="16"/>
      <c r="Q251" s="16"/>
      <c r="R251" s="16"/>
    </row>
    <row r="252" spans="1:18" x14ac:dyDescent="0.3">
      <c r="A252" s="3"/>
      <c r="B252" s="288"/>
      <c r="C252" s="288"/>
      <c r="D252" s="285"/>
      <c r="E252" s="287"/>
      <c r="F252" s="287"/>
      <c r="G252" s="3"/>
      <c r="H252" s="16"/>
      <c r="I252" s="3"/>
      <c r="J252" s="288"/>
      <c r="K252" s="288"/>
      <c r="L252" s="3"/>
      <c r="M252" s="3"/>
      <c r="N252" s="16"/>
      <c r="O252" s="16"/>
      <c r="P252" s="16"/>
      <c r="Q252" s="16"/>
      <c r="R252" s="16"/>
    </row>
    <row r="253" spans="1:18" x14ac:dyDescent="0.3">
      <c r="A253" s="3"/>
      <c r="B253" s="288"/>
      <c r="C253" s="288"/>
      <c r="D253" s="285"/>
      <c r="E253" s="287"/>
      <c r="F253" s="287"/>
      <c r="G253" s="3"/>
      <c r="H253" s="16"/>
      <c r="I253" s="3"/>
      <c r="J253" s="288"/>
      <c r="K253" s="288"/>
      <c r="L253" s="3"/>
      <c r="M253" s="3"/>
      <c r="N253" s="16"/>
      <c r="O253" s="16"/>
      <c r="P253" s="16"/>
      <c r="Q253" s="16"/>
      <c r="R253" s="16"/>
    </row>
    <row r="254" spans="1:18" x14ac:dyDescent="0.3">
      <c r="A254" s="3"/>
      <c r="B254" s="288"/>
      <c r="C254" s="288"/>
      <c r="D254" s="285"/>
      <c r="E254" s="287"/>
      <c r="F254" s="287"/>
      <c r="G254" s="3"/>
      <c r="H254" s="16"/>
      <c r="I254" s="3"/>
      <c r="J254" s="288"/>
      <c r="K254" s="288"/>
      <c r="L254" s="3"/>
      <c r="M254" s="3"/>
      <c r="N254" s="16"/>
      <c r="O254" s="16"/>
      <c r="P254" s="16"/>
      <c r="Q254" s="16"/>
      <c r="R254" s="16"/>
    </row>
    <row r="255" spans="1:18" x14ac:dyDescent="0.3">
      <c r="A255" s="3"/>
      <c r="B255" s="288"/>
      <c r="C255" s="288"/>
      <c r="D255" s="285"/>
      <c r="E255" s="287"/>
      <c r="F255" s="287"/>
      <c r="G255" s="3"/>
      <c r="H255" s="16"/>
      <c r="I255" s="3"/>
      <c r="J255" s="288"/>
      <c r="K255" s="288"/>
      <c r="L255" s="3"/>
      <c r="M255" s="3"/>
      <c r="N255" s="16"/>
      <c r="O255" s="16"/>
      <c r="P255" s="16"/>
      <c r="Q255" s="16"/>
      <c r="R255" s="16"/>
    </row>
    <row r="256" spans="1:18" x14ac:dyDescent="0.3">
      <c r="A256" s="3"/>
      <c r="B256" s="288"/>
      <c r="C256" s="288"/>
      <c r="D256" s="285"/>
      <c r="E256" s="287"/>
      <c r="F256" s="287"/>
      <c r="G256" s="3"/>
      <c r="H256" s="16"/>
      <c r="I256" s="3"/>
      <c r="J256" s="288"/>
      <c r="K256" s="288"/>
      <c r="L256" s="3"/>
      <c r="M256" s="3"/>
      <c r="N256" s="16"/>
      <c r="O256" s="16"/>
      <c r="P256" s="16"/>
      <c r="Q256" s="16"/>
      <c r="R256" s="16"/>
    </row>
    <row r="257" spans="1:18" x14ac:dyDescent="0.3">
      <c r="A257" s="3"/>
      <c r="B257" s="288"/>
      <c r="C257" s="288"/>
      <c r="D257" s="285"/>
      <c r="E257" s="287"/>
      <c r="F257" s="287"/>
      <c r="G257" s="3"/>
      <c r="H257" s="16"/>
      <c r="I257" s="3"/>
      <c r="J257" s="288"/>
      <c r="K257" s="288"/>
      <c r="L257" s="3"/>
      <c r="M257" s="3"/>
      <c r="N257" s="16"/>
      <c r="O257" s="16"/>
      <c r="P257" s="16"/>
      <c r="Q257" s="16"/>
      <c r="R257" s="16"/>
    </row>
    <row r="258" spans="1:18" x14ac:dyDescent="0.3">
      <c r="A258" s="3"/>
      <c r="B258" s="288"/>
      <c r="C258" s="288"/>
      <c r="D258" s="285"/>
      <c r="E258" s="287"/>
      <c r="F258" s="287"/>
      <c r="G258" s="3"/>
      <c r="H258" s="16"/>
      <c r="I258" s="3"/>
      <c r="J258" s="288"/>
      <c r="K258" s="288"/>
      <c r="L258" s="3"/>
      <c r="M258" s="3"/>
      <c r="N258" s="16"/>
      <c r="O258" s="16"/>
      <c r="P258" s="16"/>
      <c r="Q258" s="16"/>
      <c r="R258" s="16"/>
    </row>
    <row r="259" spans="1:18" x14ac:dyDescent="0.3">
      <c r="A259" s="3"/>
      <c r="J259" s="288"/>
      <c r="K259" s="288"/>
    </row>
    <row r="260" spans="1:18" x14ac:dyDescent="0.3">
      <c r="A260" s="3"/>
      <c r="B260" s="288"/>
      <c r="C260" s="288"/>
      <c r="D260" s="285"/>
      <c r="E260" s="287"/>
      <c r="F260" s="287"/>
      <c r="G260" s="3"/>
      <c r="H260" s="16"/>
      <c r="I260" s="3"/>
      <c r="J260" s="288"/>
      <c r="K260" s="288"/>
      <c r="L260" s="3"/>
      <c r="M260" s="3"/>
      <c r="N260" s="16"/>
      <c r="O260" s="16"/>
      <c r="P260" s="16"/>
      <c r="Q260" s="16"/>
      <c r="R260" s="16"/>
    </row>
    <row r="261" spans="1:18" x14ac:dyDescent="0.3">
      <c r="A261" s="3"/>
      <c r="B261" s="288"/>
      <c r="C261" s="288"/>
      <c r="D261" s="285"/>
      <c r="E261" s="287"/>
      <c r="F261" s="287"/>
      <c r="G261" s="3"/>
      <c r="H261" s="16"/>
      <c r="I261" s="3"/>
      <c r="J261" s="288"/>
      <c r="K261" s="288"/>
      <c r="L261" s="3"/>
      <c r="M261" s="3"/>
      <c r="N261" s="16"/>
      <c r="O261" s="16"/>
      <c r="P261" s="16"/>
      <c r="Q261" s="16"/>
      <c r="R261" s="16"/>
    </row>
    <row r="262" spans="1:18" x14ac:dyDescent="0.3">
      <c r="A262" s="3"/>
      <c r="B262" s="288"/>
      <c r="C262" s="288"/>
      <c r="D262" s="285"/>
      <c r="E262" s="287"/>
      <c r="F262" s="287"/>
      <c r="G262" s="3"/>
      <c r="H262" s="16"/>
      <c r="I262" s="3"/>
      <c r="J262" s="288"/>
      <c r="K262" s="288"/>
      <c r="L262" s="3"/>
      <c r="M262" s="3"/>
      <c r="N262" s="16"/>
      <c r="O262" s="16"/>
      <c r="P262" s="16"/>
      <c r="Q262" s="16"/>
      <c r="R262" s="16"/>
    </row>
    <row r="263" spans="1:18" x14ac:dyDescent="0.3">
      <c r="A263" s="3"/>
      <c r="B263" s="288"/>
      <c r="C263" s="288"/>
      <c r="D263" s="285"/>
      <c r="E263" s="287"/>
      <c r="F263" s="287"/>
      <c r="G263" s="3"/>
      <c r="H263" s="16"/>
      <c r="I263" s="3"/>
      <c r="J263" s="3"/>
      <c r="K263" s="3"/>
      <c r="L263" s="3"/>
      <c r="M263" s="3"/>
      <c r="N263" s="16"/>
      <c r="O263" s="16"/>
      <c r="P263" s="16"/>
      <c r="Q263" s="16"/>
      <c r="R263" s="16"/>
    </row>
    <row r="264" spans="1:18" x14ac:dyDescent="0.3">
      <c r="A264" s="3"/>
      <c r="B264" s="288"/>
      <c r="C264" s="288"/>
      <c r="D264" s="285"/>
      <c r="E264" s="287"/>
      <c r="F264" s="287"/>
      <c r="G264" s="3"/>
      <c r="H264" s="16"/>
      <c r="I264" s="3"/>
      <c r="J264" s="3"/>
      <c r="K264" s="3"/>
      <c r="L264" s="3"/>
      <c r="M264" s="3"/>
      <c r="N264" s="16"/>
      <c r="O264" s="16"/>
      <c r="P264" s="16"/>
      <c r="Q264" s="16"/>
      <c r="R264" s="16"/>
    </row>
    <row r="265" spans="1:18" x14ac:dyDescent="0.3">
      <c r="A265" s="3"/>
      <c r="B265" s="288"/>
      <c r="C265" s="288"/>
      <c r="D265" s="285"/>
      <c r="E265" s="287"/>
      <c r="F265" s="287"/>
      <c r="G265" s="3"/>
      <c r="H265" s="16"/>
      <c r="I265" s="3"/>
      <c r="J265" s="3"/>
      <c r="K265" s="3"/>
      <c r="L265" s="3"/>
      <c r="M265" s="3"/>
      <c r="N265" s="16"/>
      <c r="O265" s="16"/>
      <c r="P265" s="16"/>
      <c r="Q265" s="16"/>
      <c r="R265" s="16"/>
    </row>
  </sheetData>
  <mergeCells count="13">
    <mergeCell ref="L181:M181"/>
    <mergeCell ref="H180:M180"/>
    <mergeCell ref="D179:F179"/>
    <mergeCell ref="D182:F182"/>
    <mergeCell ref="C171:E171"/>
    <mergeCell ref="J181:K181"/>
    <mergeCell ref="H171:I173"/>
    <mergeCell ref="D181:F181"/>
    <mergeCell ref="E2:G2"/>
    <mergeCell ref="D178:F178"/>
    <mergeCell ref="C173:E173"/>
    <mergeCell ref="H181:I181"/>
    <mergeCell ref="D180:F180"/>
  </mergeCells>
  <dataValidations disablePrompts="1" xWindow="1458" yWindow="540" count="4">
    <dataValidation type="list" operator="greaterThanOrEqual" showInputMessage="1" showErrorMessage="1" errorTitle="ניתן להזין בתא זה רק 5 או 0" error="כן=5; לא=0" sqref="H66:H69 H72 H79 H83:H84 H94:H100 H102:H112 H130 H137 H142 H144 H147:H150" xr:uid="{00000000-0002-0000-0000-000000000000}">
      <formula1>"0,5"</formula1>
    </dataValidation>
    <dataValidation type="whole" showInputMessage="1" showErrorMessage="1" errorTitle="תא מוגבל הזנה" error="ערך זה הינו נומרי + בן 4 ספרות בלבד." sqref="H129" xr:uid="{00000000-0002-0000-0000-000001000000}">
      <formula1>1900</formula1>
      <formula2>2100</formula2>
    </dataValidation>
    <dataValidation type="decimal" operator="greaterThanOrEqual" showInputMessage="1" showErrorMessage="1" error="ספרות בלבד" sqref="H46:H50 H53:H62 H85" xr:uid="{00000000-0002-0000-0000-000002000000}">
      <formula1>0</formula1>
    </dataValidation>
    <dataValidation type="list" sqref="H55:H61 H73 H85:H89 H91:H93 H101 H125 H132 H136 H138:H139 H143 H145 O34:O43 O55:O133" xr:uid="{00000000-0002-0000-0000-000003000000}">
      <formula1>"0,5"</formula1>
    </dataValidation>
  </dataValidations>
  <pageMargins left="0" right="0" top="0" bottom="0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B1:H54"/>
  <sheetViews>
    <sheetView showGridLines="0" rightToLeft="1" tabSelected="1" topLeftCell="A11" zoomScale="65" zoomScaleNormal="65" workbookViewId="0">
      <selection sqref="A1:XFD1048576"/>
    </sheetView>
  </sheetViews>
  <sheetFormatPr defaultColWidth="19" defaultRowHeight="14" x14ac:dyDescent="0.3"/>
  <cols>
    <col min="1" max="1" width="6.4140625" style="75" customWidth="1"/>
    <col min="2" max="2" width="5.4140625" style="308" customWidth="1"/>
    <col min="3" max="3" width="8.4140625" style="75" customWidth="1"/>
    <col min="4" max="4" width="56.75" style="75" customWidth="1"/>
    <col min="5" max="7" width="9" style="75" bestFit="1" customWidth="1"/>
    <col min="8" max="8" width="7.33203125" style="75" customWidth="1"/>
    <col min="9" max="13" width="19" style="75" customWidth="1"/>
    <col min="14" max="16384" width="19" style="75"/>
  </cols>
  <sheetData>
    <row r="1" spans="2:8" ht="5.25" customHeight="1" x14ac:dyDescent="0.3"/>
    <row r="2" spans="2:8" ht="31" customHeight="1" x14ac:dyDescent="0.3">
      <c r="B2" s="368" t="s">
        <v>321</v>
      </c>
      <c r="C2" s="369"/>
      <c r="D2" s="369"/>
    </row>
    <row r="3" spans="2:8" ht="11.5" customHeight="1" x14ac:dyDescent="0.3">
      <c r="B3" s="309"/>
    </row>
    <row r="4" spans="2:8" ht="12" customHeight="1" x14ac:dyDescent="0.4">
      <c r="B4" s="310">
        <v>1</v>
      </c>
      <c r="C4" s="311" t="s">
        <v>322</v>
      </c>
      <c r="D4" s="20"/>
    </row>
    <row r="5" spans="2:8" ht="17.149999999999999" customHeight="1" x14ac:dyDescent="0.3">
      <c r="B5" s="27">
        <v>1</v>
      </c>
      <c r="C5" s="312" t="s">
        <v>20</v>
      </c>
      <c r="D5" s="20"/>
      <c r="E5" s="75" t="s">
        <v>323</v>
      </c>
      <c r="F5" s="75" t="s">
        <v>324</v>
      </c>
      <c r="G5" s="75" t="s">
        <v>325</v>
      </c>
      <c r="H5" s="145"/>
    </row>
    <row r="6" spans="2:8" ht="17.149999999999999" customHeight="1" x14ac:dyDescent="0.35">
      <c r="C6" s="313">
        <v>1.1000000000000001</v>
      </c>
      <c r="D6" s="20" t="s">
        <v>24</v>
      </c>
      <c r="E6" s="122">
        <v>0.6</v>
      </c>
      <c r="F6" s="122">
        <f>(E6+G6)/2</f>
        <v>0.6</v>
      </c>
      <c r="G6" s="122">
        <v>0.6</v>
      </c>
      <c r="H6" s="27"/>
    </row>
    <row r="7" spans="2:8" ht="17.149999999999999" customHeight="1" x14ac:dyDescent="0.35">
      <c r="B7" s="314"/>
      <c r="C7" s="313">
        <v>1.2</v>
      </c>
      <c r="D7" s="20" t="s">
        <v>27</v>
      </c>
      <c r="E7" s="122">
        <v>0.5</v>
      </c>
      <c r="F7" s="122">
        <f>(E7+G7)/2</f>
        <v>0.5</v>
      </c>
      <c r="G7" s="122">
        <v>0.5</v>
      </c>
      <c r="H7" s="27"/>
    </row>
    <row r="8" spans="2:8" ht="17.149999999999999" customHeight="1" x14ac:dyDescent="0.35">
      <c r="B8" s="314"/>
      <c r="C8" s="313">
        <v>1.3</v>
      </c>
      <c r="D8" s="20" t="s">
        <v>29</v>
      </c>
      <c r="E8" s="122">
        <v>0.5</v>
      </c>
      <c r="F8" s="122">
        <f>(E8+G8)/2</f>
        <v>0.5</v>
      </c>
      <c r="G8" s="122">
        <v>0.5</v>
      </c>
      <c r="H8" s="27"/>
    </row>
    <row r="9" spans="2:8" ht="17.149999999999999" customHeight="1" x14ac:dyDescent="0.35">
      <c r="B9" s="314"/>
      <c r="C9" s="313">
        <v>1.4</v>
      </c>
      <c r="D9" s="20" t="s">
        <v>31</v>
      </c>
      <c r="E9" s="122">
        <v>0.4</v>
      </c>
      <c r="F9" s="122">
        <f>(E9+G9)/2</f>
        <v>0.4</v>
      </c>
      <c r="G9" s="122">
        <v>0.4</v>
      </c>
      <c r="H9" s="27"/>
    </row>
    <row r="10" spans="2:8" ht="17.149999999999999" customHeight="1" x14ac:dyDescent="0.35">
      <c r="B10" s="314"/>
      <c r="C10" s="313">
        <v>1.5</v>
      </c>
      <c r="D10" s="20" t="s">
        <v>33</v>
      </c>
      <c r="E10" s="122">
        <v>0.1</v>
      </c>
      <c r="F10" s="122">
        <f>(E10+G10)/2</f>
        <v>0.1</v>
      </c>
      <c r="G10" s="122">
        <v>0.1</v>
      </c>
      <c r="H10" s="27"/>
    </row>
    <row r="11" spans="2:8" ht="17.149999999999999" customHeight="1" x14ac:dyDescent="0.35">
      <c r="B11" s="314"/>
      <c r="C11" s="313"/>
      <c r="D11" s="20"/>
      <c r="E11" s="306"/>
      <c r="F11" s="306"/>
      <c r="G11" s="306"/>
      <c r="H11" s="27"/>
    </row>
    <row r="12" spans="2:8" ht="17.149999999999999" customHeight="1" x14ac:dyDescent="0.3">
      <c r="B12" s="27">
        <v>2</v>
      </c>
      <c r="C12" s="315" t="s">
        <v>36</v>
      </c>
      <c r="D12" s="315"/>
      <c r="E12" s="306"/>
      <c r="F12" s="306"/>
      <c r="G12" s="306"/>
      <c r="H12" s="27"/>
    </row>
    <row r="13" spans="2:8" ht="17.149999999999999" customHeight="1" x14ac:dyDescent="0.3">
      <c r="B13" s="27"/>
      <c r="C13" s="316" t="s">
        <v>38</v>
      </c>
      <c r="D13" s="20" t="s">
        <v>39</v>
      </c>
      <c r="E13" s="317">
        <v>45</v>
      </c>
      <c r="F13" s="307">
        <f t="shared" ref="F13:F23" si="0">(E13+G13)/2</f>
        <v>45</v>
      </c>
      <c r="G13" s="317">
        <v>45</v>
      </c>
      <c r="H13" s="27"/>
    </row>
    <row r="14" spans="2:8" ht="17.149999999999999" customHeight="1" x14ac:dyDescent="0.3">
      <c r="B14" s="27"/>
      <c r="C14" s="316" t="s">
        <v>43</v>
      </c>
      <c r="D14" s="20" t="s">
        <v>26</v>
      </c>
      <c r="E14" s="307">
        <v>125</v>
      </c>
      <c r="F14" s="307">
        <f t="shared" si="0"/>
        <v>125</v>
      </c>
      <c r="G14" s="307">
        <v>125</v>
      </c>
      <c r="H14" s="27"/>
    </row>
    <row r="15" spans="2:8" ht="17.149999999999999" customHeight="1" x14ac:dyDescent="0.3">
      <c r="B15" s="27"/>
      <c r="C15" s="316" t="s">
        <v>41</v>
      </c>
      <c r="D15" s="20" t="s">
        <v>23</v>
      </c>
      <c r="E15" s="307">
        <v>66</v>
      </c>
      <c r="F15" s="307">
        <f t="shared" si="0"/>
        <v>66</v>
      </c>
      <c r="G15" s="307">
        <v>66</v>
      </c>
      <c r="H15" s="27"/>
    </row>
    <row r="16" spans="2:8" ht="17.149999999999999" customHeight="1" x14ac:dyDescent="0.3">
      <c r="B16" s="27"/>
      <c r="C16" s="316" t="s">
        <v>44</v>
      </c>
      <c r="D16" s="20" t="s">
        <v>28</v>
      </c>
      <c r="E16" s="307">
        <v>275</v>
      </c>
      <c r="F16" s="307">
        <f t="shared" si="0"/>
        <v>275</v>
      </c>
      <c r="G16" s="307">
        <v>275</v>
      </c>
      <c r="H16" s="27"/>
    </row>
    <row r="17" spans="2:8" ht="17.149999999999999" customHeight="1" x14ac:dyDescent="0.3">
      <c r="B17" s="27"/>
      <c r="C17" s="316" t="s">
        <v>45</v>
      </c>
      <c r="D17" s="20" t="s">
        <v>30</v>
      </c>
      <c r="E17" s="307">
        <v>90</v>
      </c>
      <c r="F17" s="307">
        <f t="shared" si="0"/>
        <v>90</v>
      </c>
      <c r="G17" s="307">
        <v>90</v>
      </c>
      <c r="H17" s="27"/>
    </row>
    <row r="18" spans="2:8" ht="17.149999999999999" customHeight="1" x14ac:dyDescent="0.3">
      <c r="B18" s="27"/>
      <c r="C18" s="316" t="s">
        <v>46</v>
      </c>
      <c r="D18" s="20" t="s">
        <v>47</v>
      </c>
      <c r="E18" s="307">
        <v>75</v>
      </c>
      <c r="F18" s="307">
        <f t="shared" si="0"/>
        <v>75</v>
      </c>
      <c r="G18" s="307">
        <v>75</v>
      </c>
      <c r="H18" s="27"/>
    </row>
    <row r="19" spans="2:8" ht="17.149999999999999" customHeight="1" x14ac:dyDescent="0.3">
      <c r="B19" s="27"/>
      <c r="C19" s="316" t="s">
        <v>48</v>
      </c>
      <c r="D19" s="20" t="s">
        <v>34</v>
      </c>
      <c r="E19" s="307">
        <v>75</v>
      </c>
      <c r="F19" s="307">
        <f t="shared" si="0"/>
        <v>75</v>
      </c>
      <c r="G19" s="307">
        <v>75</v>
      </c>
      <c r="H19" s="27"/>
    </row>
    <row r="20" spans="2:8" ht="17.149999999999999" customHeight="1" x14ac:dyDescent="0.3">
      <c r="B20" s="27"/>
      <c r="C20" s="316" t="s">
        <v>49</v>
      </c>
      <c r="D20" s="20" t="s">
        <v>35</v>
      </c>
      <c r="E20" s="307">
        <v>60</v>
      </c>
      <c r="F20" s="307">
        <f t="shared" si="0"/>
        <v>60</v>
      </c>
      <c r="G20" s="307">
        <v>60</v>
      </c>
      <c r="H20" s="27"/>
    </row>
    <row r="21" spans="2:8" ht="17.149999999999999" customHeight="1" x14ac:dyDescent="0.3">
      <c r="B21" s="27"/>
      <c r="C21" s="316" t="s">
        <v>50</v>
      </c>
      <c r="D21" s="318" t="s">
        <v>37</v>
      </c>
      <c r="E21" s="307">
        <v>100</v>
      </c>
      <c r="F21" s="307">
        <f t="shared" si="0"/>
        <v>100</v>
      </c>
      <c r="G21" s="307">
        <v>100</v>
      </c>
      <c r="H21" s="27"/>
    </row>
    <row r="22" spans="2:8" ht="17.149999999999999" customHeight="1" x14ac:dyDescent="0.3">
      <c r="B22" s="27"/>
      <c r="C22" s="316" t="s">
        <v>51</v>
      </c>
      <c r="D22" s="318" t="s">
        <v>40</v>
      </c>
      <c r="E22" s="307">
        <v>55</v>
      </c>
      <c r="F22" s="307">
        <f t="shared" si="0"/>
        <v>55</v>
      </c>
      <c r="G22" s="307">
        <v>55</v>
      </c>
      <c r="H22" s="27"/>
    </row>
    <row r="23" spans="2:8" ht="17.149999999999999" customHeight="1" x14ac:dyDescent="0.3">
      <c r="C23" s="316" t="s">
        <v>52</v>
      </c>
      <c r="D23" s="318" t="s">
        <v>42</v>
      </c>
      <c r="E23" s="307">
        <v>275</v>
      </c>
      <c r="F23" s="307">
        <f t="shared" si="0"/>
        <v>275</v>
      </c>
      <c r="G23" s="307">
        <v>275</v>
      </c>
      <c r="H23" s="27"/>
    </row>
    <row r="24" spans="2:8" ht="17.149999999999999" customHeight="1" x14ac:dyDescent="0.3">
      <c r="B24" s="319"/>
      <c r="C24" s="320"/>
      <c r="D24" s="4"/>
      <c r="E24" s="306"/>
      <c r="F24" s="306"/>
      <c r="G24" s="306"/>
      <c r="H24" s="27"/>
    </row>
    <row r="25" spans="2:8" ht="17.149999999999999" customHeight="1" x14ac:dyDescent="0.3">
      <c r="B25" s="319">
        <v>2</v>
      </c>
      <c r="C25" s="320" t="s">
        <v>72</v>
      </c>
      <c r="D25" s="4"/>
      <c r="E25" s="306"/>
      <c r="F25" s="306"/>
      <c r="G25" s="306"/>
      <c r="H25" s="27"/>
    </row>
    <row r="26" spans="2:8" ht="17.149999999999999" customHeight="1" x14ac:dyDescent="0.3">
      <c r="B26" s="27"/>
      <c r="C26" s="313">
        <v>2.2999999999999998</v>
      </c>
      <c r="D26" s="318" t="s">
        <v>92</v>
      </c>
      <c r="E26" s="234">
        <v>5</v>
      </c>
      <c r="F26" s="234">
        <f>(E26+G26)/2</f>
        <v>5</v>
      </c>
      <c r="G26" s="234">
        <v>5</v>
      </c>
      <c r="H26" s="27"/>
    </row>
    <row r="27" spans="2:8" ht="17.149999999999999" customHeight="1" x14ac:dyDescent="0.3">
      <c r="B27" s="321"/>
      <c r="C27" s="79"/>
      <c r="D27" s="322"/>
      <c r="E27" s="53"/>
      <c r="F27" s="53"/>
      <c r="G27" s="53"/>
      <c r="H27" s="27"/>
    </row>
    <row r="28" spans="2:8" ht="17.149999999999999" customHeight="1" x14ac:dyDescent="0.3">
      <c r="B28" s="319">
        <v>4</v>
      </c>
      <c r="C28" s="323" t="s">
        <v>220</v>
      </c>
      <c r="D28" s="20"/>
      <c r="H28" s="27"/>
    </row>
    <row r="29" spans="2:8" ht="17.149999999999999" customHeight="1" x14ac:dyDescent="0.3">
      <c r="B29" s="27">
        <v>1</v>
      </c>
      <c r="C29" s="324" t="s">
        <v>222</v>
      </c>
      <c r="D29" s="20"/>
      <c r="E29" s="84">
        <v>3</v>
      </c>
      <c r="F29" s="84">
        <f>(E29+G29)/2</f>
        <v>3</v>
      </c>
      <c r="G29" s="84">
        <v>3</v>
      </c>
      <c r="H29" s="27"/>
    </row>
    <row r="30" spans="2:8" ht="17.149999999999999" customHeight="1" x14ac:dyDescent="0.3">
      <c r="B30" s="27">
        <v>2</v>
      </c>
      <c r="C30" s="82" t="s">
        <v>224</v>
      </c>
      <c r="D30" s="20"/>
      <c r="H30" s="27"/>
    </row>
    <row r="31" spans="2:8" ht="17.149999999999999" customHeight="1" x14ac:dyDescent="0.3">
      <c r="B31" s="27"/>
      <c r="C31" s="324">
        <v>2.1</v>
      </c>
      <c r="D31" s="20" t="s">
        <v>226</v>
      </c>
      <c r="E31" s="54">
        <v>3</v>
      </c>
      <c r="F31" s="54">
        <f>(E31+G31)/2</f>
        <v>3</v>
      </c>
      <c r="G31" s="54">
        <v>3</v>
      </c>
      <c r="H31" s="27"/>
    </row>
    <row r="32" spans="2:8" ht="18" customHeight="1" x14ac:dyDescent="0.3">
      <c r="B32" s="27"/>
      <c r="C32" s="324">
        <v>2.2000000000000002</v>
      </c>
      <c r="D32" s="20" t="s">
        <v>228</v>
      </c>
      <c r="E32" s="54">
        <v>6</v>
      </c>
      <c r="F32" s="54">
        <f>(E32+G32)/2</f>
        <v>6</v>
      </c>
      <c r="G32" s="54">
        <v>6</v>
      </c>
      <c r="H32" s="27"/>
    </row>
    <row r="33" spans="2:8" ht="17.5" customHeight="1" x14ac:dyDescent="0.3">
      <c r="B33" s="27"/>
      <c r="C33" s="324"/>
      <c r="D33" s="20"/>
      <c r="E33" s="53"/>
      <c r="F33" s="53"/>
      <c r="G33" s="53"/>
      <c r="H33" s="27"/>
    </row>
    <row r="34" spans="2:8" ht="17.5" customHeight="1" x14ac:dyDescent="0.3">
      <c r="B34" s="319">
        <v>5</v>
      </c>
      <c r="C34" s="323" t="s">
        <v>233</v>
      </c>
      <c r="D34" s="1"/>
      <c r="H34" s="27"/>
    </row>
    <row r="35" spans="2:8" ht="20.5" customHeight="1" x14ac:dyDescent="0.3">
      <c r="B35" s="27">
        <v>4</v>
      </c>
      <c r="C35" s="325" t="s">
        <v>243</v>
      </c>
      <c r="D35" s="1"/>
      <c r="E35" s="54">
        <v>30</v>
      </c>
      <c r="F35" s="54">
        <f>(E35+G35)/2</f>
        <v>30</v>
      </c>
      <c r="G35" s="54">
        <v>30</v>
      </c>
      <c r="H35" s="27"/>
    </row>
    <row r="36" spans="2:8" ht="16.5" customHeight="1" x14ac:dyDescent="0.4">
      <c r="B36" s="326">
        <v>7</v>
      </c>
      <c r="C36" s="327" t="s">
        <v>270</v>
      </c>
      <c r="D36" s="1"/>
      <c r="E36" s="53"/>
      <c r="F36" s="53"/>
      <c r="G36" s="53"/>
      <c r="H36" s="27"/>
    </row>
    <row r="37" spans="2:8" ht="16.5" customHeight="1" x14ac:dyDescent="0.3">
      <c r="B37" s="328">
        <v>1</v>
      </c>
      <c r="C37" s="329" t="s">
        <v>271</v>
      </c>
      <c r="D37" s="4"/>
      <c r="H37" s="27"/>
    </row>
    <row r="38" spans="2:8" ht="16.5" customHeight="1" x14ac:dyDescent="0.35">
      <c r="B38" s="314"/>
      <c r="C38" s="20" t="s">
        <v>38</v>
      </c>
      <c r="D38" s="330" t="s">
        <v>272</v>
      </c>
      <c r="E38" s="163">
        <v>3</v>
      </c>
      <c r="F38" s="163">
        <f>(E38+G38)/2</f>
        <v>5</v>
      </c>
      <c r="G38" s="163">
        <v>7</v>
      </c>
      <c r="H38" s="27"/>
    </row>
    <row r="39" spans="2:8" ht="16.5" customHeight="1" x14ac:dyDescent="0.35">
      <c r="B39" s="314"/>
      <c r="C39" s="20" t="s">
        <v>41</v>
      </c>
      <c r="D39" s="330" t="s">
        <v>274</v>
      </c>
      <c r="E39" s="163">
        <v>2</v>
      </c>
      <c r="F39" s="163">
        <f>(E39+G39)/2</f>
        <v>5</v>
      </c>
      <c r="G39" s="163">
        <v>8</v>
      </c>
      <c r="H39" s="27"/>
    </row>
    <row r="40" spans="2:8" ht="20" customHeight="1" x14ac:dyDescent="0.35">
      <c r="B40" s="314"/>
      <c r="C40" s="20" t="s">
        <v>43</v>
      </c>
      <c r="D40" s="330" t="s">
        <v>275</v>
      </c>
      <c r="E40" s="163">
        <v>1</v>
      </c>
      <c r="F40" s="163">
        <f>(E40+G40)/2</f>
        <v>3</v>
      </c>
      <c r="G40" s="163">
        <v>5</v>
      </c>
      <c r="H40" s="27"/>
    </row>
    <row r="41" spans="2:8" ht="16.5" customHeight="1" x14ac:dyDescent="0.35">
      <c r="B41" s="26"/>
      <c r="C41" s="331"/>
      <c r="D41" s="27"/>
      <c r="E41" s="332"/>
      <c r="F41" s="332"/>
      <c r="G41" s="332"/>
      <c r="H41" s="27"/>
    </row>
    <row r="42" spans="2:8" ht="16.5" customHeight="1" x14ac:dyDescent="0.3">
      <c r="B42" s="328">
        <v>2</v>
      </c>
      <c r="C42" s="329" t="s">
        <v>276</v>
      </c>
      <c r="D42" s="20"/>
      <c r="E42" s="332"/>
      <c r="F42" s="332"/>
      <c r="G42" s="332"/>
      <c r="H42" s="27"/>
    </row>
    <row r="43" spans="2:8" ht="16.5" customHeight="1" x14ac:dyDescent="0.35">
      <c r="B43" s="314"/>
      <c r="C43" s="20" t="s">
        <v>97</v>
      </c>
      <c r="D43" s="333" t="s">
        <v>277</v>
      </c>
      <c r="E43" s="334">
        <v>1000</v>
      </c>
      <c r="F43" s="334">
        <f>(E43+G43)/2</f>
        <v>1945</v>
      </c>
      <c r="G43" s="334">
        <v>2890</v>
      </c>
      <c r="H43" s="27"/>
    </row>
    <row r="44" spans="2:8" ht="16.5" customHeight="1" x14ac:dyDescent="0.35">
      <c r="B44" s="314"/>
      <c r="C44" s="20" t="s">
        <v>101</v>
      </c>
      <c r="D44" s="333" t="s">
        <v>278</v>
      </c>
      <c r="E44" s="335">
        <v>100</v>
      </c>
      <c r="F44" s="334">
        <f>(E44+G44)/2</f>
        <v>438.5</v>
      </c>
      <c r="G44" s="335">
        <v>777</v>
      </c>
      <c r="H44" s="27"/>
    </row>
    <row r="45" spans="2:8" ht="16.5" customHeight="1" x14ac:dyDescent="0.35">
      <c r="B45" s="314"/>
      <c r="C45" s="20" t="s">
        <v>105</v>
      </c>
      <c r="D45" s="333" t="s">
        <v>280</v>
      </c>
      <c r="E45" s="336">
        <v>1</v>
      </c>
      <c r="F45" s="337">
        <f>(E45+G45)/2</f>
        <v>5</v>
      </c>
      <c r="G45" s="336">
        <v>9</v>
      </c>
    </row>
    <row r="46" spans="2:8" ht="18" customHeight="1" x14ac:dyDescent="0.35">
      <c r="B46" s="338"/>
      <c r="C46" s="339" t="s">
        <v>281</v>
      </c>
      <c r="D46" s="340" t="s">
        <v>282</v>
      </c>
      <c r="E46" s="335">
        <v>1</v>
      </c>
      <c r="F46" s="341">
        <f>(E46+G46)/2</f>
        <v>5</v>
      </c>
      <c r="G46" s="335">
        <v>9</v>
      </c>
    </row>
    <row r="47" spans="2:8" ht="20" customHeight="1" x14ac:dyDescent="0.35">
      <c r="B47" s="338"/>
      <c r="C47" s="339" t="s">
        <v>283</v>
      </c>
      <c r="D47" s="340" t="s">
        <v>284</v>
      </c>
      <c r="E47" s="335">
        <v>1</v>
      </c>
      <c r="F47" s="341">
        <f>(E47+G47)/2</f>
        <v>5</v>
      </c>
      <c r="G47" s="335">
        <v>9</v>
      </c>
    </row>
    <row r="48" spans="2:8" ht="16.5" customHeight="1" x14ac:dyDescent="0.25">
      <c r="B48" s="342"/>
      <c r="C48" s="342"/>
      <c r="E48" s="343"/>
      <c r="F48" s="343"/>
      <c r="G48" s="343"/>
    </row>
    <row r="49" spans="2:7" ht="16.5" customHeight="1" x14ac:dyDescent="0.25">
      <c r="B49" s="344">
        <v>3</v>
      </c>
      <c r="C49" s="345" t="s">
        <v>285</v>
      </c>
      <c r="E49" s="343"/>
      <c r="F49" s="343"/>
      <c r="G49" s="343"/>
    </row>
    <row r="50" spans="2:7" ht="16.5" customHeight="1" x14ac:dyDescent="0.35">
      <c r="B50" s="338"/>
      <c r="C50" s="339" t="s">
        <v>286</v>
      </c>
      <c r="D50" s="340" t="s">
        <v>287</v>
      </c>
      <c r="E50" s="335">
        <v>1</v>
      </c>
      <c r="F50" s="341">
        <f>(E50+G50)/2</f>
        <v>5</v>
      </c>
      <c r="G50" s="335">
        <v>9</v>
      </c>
    </row>
    <row r="51" spans="2:7" ht="16.5" customHeight="1" x14ac:dyDescent="0.35">
      <c r="B51" s="338"/>
      <c r="C51" s="339" t="s">
        <v>288</v>
      </c>
      <c r="D51" s="340" t="s">
        <v>289</v>
      </c>
      <c r="E51" s="335">
        <v>1</v>
      </c>
      <c r="F51" s="341">
        <f>(E51+G51)/2</f>
        <v>5</v>
      </c>
      <c r="G51" s="335">
        <v>9</v>
      </c>
    </row>
    <row r="52" spans="2:7" ht="16.5" customHeight="1" x14ac:dyDescent="0.35">
      <c r="B52" s="338"/>
      <c r="C52" s="339" t="s">
        <v>290</v>
      </c>
      <c r="D52" s="340" t="s">
        <v>291</v>
      </c>
      <c r="E52" s="346">
        <v>-0.06</v>
      </c>
      <c r="F52" s="347">
        <f>(E52+G52)/2</f>
        <v>0.27</v>
      </c>
      <c r="G52" s="347">
        <v>0.6</v>
      </c>
    </row>
    <row r="53" spans="2:7" ht="16.5" customHeight="1" x14ac:dyDescent="0.35">
      <c r="B53" s="338"/>
      <c r="C53" s="339" t="s">
        <v>292</v>
      </c>
      <c r="D53" s="340" t="s">
        <v>293</v>
      </c>
      <c r="E53" s="346">
        <v>-0.44</v>
      </c>
      <c r="F53" s="347">
        <f>(E53+G53)/2</f>
        <v>7.9999999999999988E-2</v>
      </c>
      <c r="G53" s="347">
        <v>0.6</v>
      </c>
    </row>
    <row r="54" spans="2:7" ht="16.5" customHeight="1" x14ac:dyDescent="0.35">
      <c r="B54" s="338"/>
      <c r="C54" s="339" t="s">
        <v>294</v>
      </c>
      <c r="D54" s="340" t="s">
        <v>295</v>
      </c>
      <c r="E54" s="346">
        <v>0.34</v>
      </c>
      <c r="F54" s="347">
        <f>(E54+G54)/2</f>
        <v>0.47</v>
      </c>
      <c r="G54" s="347">
        <v>0.6</v>
      </c>
    </row>
  </sheetData>
  <mergeCells count="1">
    <mergeCell ref="B2:D2"/>
  </mergeCells>
  <dataValidations disablePrompts="1" count="2">
    <dataValidation showInputMessage="1" showErrorMessage="1" error="ספרות בלבד" sqref="E6:G10 F13:F22 F25 F28 F30:F31 F34 F37:F39 F42:F46 F49:F53" xr:uid="{00000000-0002-0000-0100-000000000000}"/>
    <dataValidation type="decimal" operator="greaterThanOrEqual" showInputMessage="1" showErrorMessage="1" error="ספרות בלבד" sqref="G25 E25 E17:E21 G17:G21" xr:uid="{00000000-0002-0000-0100-000001000000}">
      <formula1>0</formula1>
    </dataValidation>
  </dataValidations>
  <pageMargins left="0.19685039370078741" right="0.19685039370078741" top="0" bottom="0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Shacham;NTAnalyze@gmail.com</dc:creator>
  <cp:lastModifiedBy>A1416</cp:lastModifiedBy>
  <cp:lastPrinted>2021-05-01T09:43:14Z</cp:lastPrinted>
  <dcterms:created xsi:type="dcterms:W3CDTF">2020-10-31T12:51:46Z</dcterms:created>
  <dcterms:modified xsi:type="dcterms:W3CDTF">2026-09-16T14:45:00Z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5373b877-94e6-4414-aa49-a49933b3367b</vt:lpwstr>
  </property>
</Properties>
</file>